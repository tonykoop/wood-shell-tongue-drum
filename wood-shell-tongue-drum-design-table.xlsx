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31920" tabRatio="600" firstSheet="41" autoFilterDateGrouping="1"/>
  </bookViews>
  <sheets>
    <sheet xmlns:r="http://schemas.openxmlformats.org/officeDocument/2006/relationships" name="Wood Shell Tongue Dru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2">
    <numFmt numFmtId="164" formatCode="0.0"/>
    <numFmt numFmtId="165" formatCode="0.000"/>
    <numFmt numFmtId="166" formatCode="#,##0.000"/>
    <numFmt numFmtId="167" formatCode="0.0000"/>
    <numFmt numFmtId="168" formatCode="&quot;$&quot;#,##0.00"/>
    <numFmt numFmtId="169" formatCode="m/d"/>
    <numFmt numFmtId="170" formatCode="m/d/yy"/>
    <numFmt numFmtId="171" formatCode="#\ ##/##"/>
    <numFmt numFmtId="172" formatCode="#\ ###/###"/>
    <numFmt numFmtId="173" formatCode="0.000000"/>
    <numFmt numFmtId="174" formatCode="\+0.000;\-0.000;0.000"/>
    <numFmt numFmtId="175" formatCode="\+0.0%;\-0.0%;0.0%"/>
    <numFmt numFmtId="176" formatCode="\+0.0;\-0.0;&quot;0.0&quot;"/>
    <numFmt numFmtId="177" formatCode="\+0.00;\-0.00;&quot;0.00&quot;"/>
    <numFmt numFmtId="178" formatCode="0.00000"/>
    <numFmt numFmtId="179" formatCode="0.0%"/>
    <numFmt numFmtId="180" formatCode="#,##0.0"/>
    <numFmt numFmtId="181" formatCode="0.0&quot;%&quot;"/>
    <numFmt numFmtId="182" formatCode="0.0&quot;°&quot;"/>
    <numFmt numFmtId="183" formatCode="0.00&quot;°&quot;"/>
    <numFmt numFmtId="184" formatCode="0.000&quot;&quot;"/>
    <numFmt numFmtId="185" formatCode="0.0&quot;&quot;"/>
  </numFmts>
  <fonts count="90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1155CC"/>
      <sz val="10"/>
      <u val="single"/>
    </font>
    <font>
      <name val="Arial"/>
      <color rgb="FF0000FF"/>
      <sz val="10"/>
      <u val="single"/>
    </font>
    <font>
      <name val="Arial"/>
      <b val="1"/>
      <sz val="10"/>
    </font>
    <font>
      <name val="Inconsolata"/>
      <sz val="10"/>
    </font>
    <font>
      <name val="Arial"/>
      <b val="1"/>
      <color rgb="FFFFFFFF"/>
      <sz val="10"/>
    </font>
    <font>
      <name val="Arial"/>
      <color rgb="FFFFFFFF"/>
      <sz val="10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color rgb="FFC0C0C0"/>
      <sz val="10"/>
    </font>
    <font>
      <name val="Arial"/>
      <i val="1"/>
      <color rgb="FFC0C0C0"/>
      <sz val="10"/>
    </font>
    <font>
      <name val="Arial"/>
      <color rgb="FF969696"/>
      <sz val="10"/>
    </font>
    <font>
      <name val="Arial"/>
      <b val="1"/>
      <color rgb="FF969696"/>
      <sz val="10"/>
    </font>
    <font>
      <name val="Arial"/>
      <b val="1"/>
      <color rgb="FF993366"/>
      <sz val="10"/>
    </font>
    <font>
      <name val="Arial"/>
      <color rgb="FF993366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FF"/>
      <sz val="10"/>
    </font>
    <font>
      <name val="Arial"/>
      <color rgb="FF666666"/>
      <sz val="10"/>
    </font>
    <font>
      <name val="Arial"/>
      <i val="1"/>
      <color rgb="FF666666"/>
      <sz val="10"/>
    </font>
    <font>
      <name val="Arial"/>
      <b val="1"/>
      <color rgb="FFFFFFFF"/>
      <sz val="12"/>
    </font>
    <font>
      <name val="Arial"/>
      <b val="1"/>
      <color rgb="FF000000"/>
      <sz val="11"/>
    </font>
    <font>
      <name val="Arial"/>
      <i val="1"/>
      <color rgb="FF666666"/>
      <sz val="9"/>
    </font>
    <font>
      <name val="Arial"/>
      <color rgb="FF006400"/>
      <sz val="10"/>
    </font>
    <font>
      <name val="Arial"/>
      <b val="1"/>
      <color rgb="FF006400"/>
      <sz val="10"/>
    </font>
    <font>
      <name val="Arial"/>
      <color rgb="FFCC0000"/>
      <sz val="10"/>
    </font>
    <font>
      <name val="Arial"/>
      <color rgb="FF333333"/>
      <sz val="9"/>
    </font>
    <font>
      <name val="Arial"/>
      <b val="1"/>
      <color rgb="FF1F4E79"/>
      <sz val="14"/>
    </font>
    <font>
      <name val="Arial"/>
      <color rgb="FF1F4E79"/>
      <sz val="10"/>
    </font>
    <font>
      <name val="Arial"/>
      <b val="1"/>
      <color rgb="FF1F4E79"/>
      <sz val="12"/>
    </font>
    <font>
      <name val="Arial"/>
      <b val="1"/>
      <color rgb="FF1F4E79"/>
      <sz val="10"/>
    </font>
    <font>
      <name val="Arial"/>
      <b val="1"/>
      <color rgb="FF000000"/>
      <sz val="12"/>
    </font>
    <font>
      <name val="Arial"/>
      <b val="1"/>
      <i val="1"/>
      <color rgb="FF666666"/>
      <sz val="10"/>
    </font>
    <font>
      <name val="Arial"/>
      <color rgb="FF999999"/>
      <sz val="10"/>
    </font>
    <font>
      <name val="Arial"/>
      <i val="1"/>
      <color rgb="FF999999"/>
      <sz val="9"/>
    </font>
    <font>
      <name val="Arial"/>
      <color rgb="FF2E75B6"/>
      <sz val="10"/>
    </font>
    <font>
      <name val="Arial"/>
      <b val="1"/>
      <color rgb="FF2E75B6"/>
      <sz val="10"/>
    </font>
    <font>
      <name val="Arial"/>
      <color rgb="FF5B9BD5"/>
      <sz val="10"/>
    </font>
    <font>
      <name val="Arial"/>
      <b val="1"/>
      <color rgb="FF5B9BD5"/>
      <sz val="10"/>
    </font>
    <font>
      <name val="Arial"/>
      <color rgb="FF9DC3E6"/>
      <sz val="10"/>
    </font>
    <font>
      <name val="Arial"/>
      <b val="1"/>
      <color rgb="FF9DC3E6"/>
      <sz val="10"/>
    </font>
    <font>
      <name val="Arial"/>
      <b val="1"/>
      <i val="1"/>
      <color rgb="FF1F4E79"/>
      <sz val="9"/>
    </font>
    <font>
      <name val="Arial"/>
      <i val="1"/>
      <color rgb="FF000000"/>
      <sz val="10"/>
    </font>
    <font>
      <name val="Arial"/>
      <color rgb="FF000000"/>
      <sz val="9"/>
    </font>
    <font>
      <name val="Arial"/>
      <b val="1"/>
      <color rgb="FFCC4125"/>
      <sz val="10"/>
    </font>
    <font>
      <name val="Arial"/>
      <b val="1"/>
      <i val="1"/>
      <color rgb="FF999999"/>
      <sz val="9"/>
    </font>
    <font>
      <name val="Arial"/>
      <b val="1"/>
      <color rgb="FF990000"/>
      <sz val="10"/>
    </font>
    <font>
      <name val="Arial"/>
      <b val="1"/>
      <color rgb="FF000000"/>
      <sz val="9"/>
    </font>
    <font>
      <name val="Arial"/>
      <b val="1"/>
      <color rgb="FFCC0000"/>
      <sz val="10"/>
    </font>
    <font>
      <name val="Arial"/>
      <i val="1"/>
      <color rgb="FF999999"/>
      <sz val="10"/>
    </font>
    <font>
      <name val="Arial"/>
      <color rgb="FF0000CC"/>
      <sz val="10"/>
    </font>
    <font>
      <name val="Arial"/>
      <b val="1"/>
      <color rgb="FF0000CC"/>
      <sz val="10"/>
    </font>
    <font>
      <name val="Arial"/>
      <i val="1"/>
      <color rgb="FF0000FF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b val="1"/>
      <color rgb="FF999999"/>
      <sz val="9"/>
    </font>
    <font>
      <name val="Arial"/>
      <b val="1"/>
      <color rgb="FFCC0000"/>
      <sz val="9"/>
    </font>
    <font>
      <name val="Arial"/>
      <color rgb="FFCC0000"/>
      <sz val="9"/>
    </font>
    <font>
      <name val="Arial"/>
      <b val="1"/>
      <i val="1"/>
      <color rgb="FF666666"/>
      <sz val="9"/>
    </font>
    <font>
      <name val="Arial"/>
      <b val="1"/>
      <color rgb="FF000000"/>
      <sz val="16"/>
    </font>
    <font>
      <name val="Arial"/>
      <color rgb="FF555555"/>
      <sz val="10"/>
    </font>
    <font>
      <name val="Arial"/>
      <i val="1"/>
      <color rgb="FF555555"/>
      <sz val="10"/>
    </font>
    <font>
      <name val="Arial"/>
      <b val="1"/>
      <color rgb="FFFFFFFF"/>
      <sz val="11"/>
    </font>
    <font>
      <name val="Arial"/>
      <color rgb="FF008000"/>
      <sz val="10"/>
    </font>
    <font>
      <name val="Arial"/>
      <color rgb="FFFF0000"/>
      <sz val="10"/>
    </font>
    <font>
      <name val="Arial"/>
      <b val="1"/>
      <color rgb="FFFF0000"/>
      <sz val="10"/>
    </font>
    <font>
      <name val="Arial"/>
      <b val="1"/>
      <color rgb="FF555555"/>
      <sz val="10"/>
    </font>
    <font>
      <name val="Arial"/>
      <b val="1"/>
      <i val="1"/>
      <color rgb="FF555555"/>
      <sz val="10"/>
    </font>
    <font>
      <name val="Arial"/>
      <i val="1"/>
      <color rgb="FFFF0000"/>
      <sz val="10"/>
    </font>
    <font>
      <name val="Arial"/>
      <color rgb="FFFF8C00"/>
      <sz val="10"/>
    </font>
    <font>
      <name val="Arial"/>
      <i val="1"/>
      <color rgb="FF888888"/>
      <sz val="9"/>
    </font>
    <font>
      <name val="Arial"/>
      <b val="1"/>
      <color rgb="FF333333"/>
      <sz val="10"/>
    </font>
    <font>
      <name val="Arial"/>
      <b val="1"/>
      <color rgb="FF006600"/>
      <sz val="10"/>
    </font>
    <font>
      <name val="Arial"/>
      <b val="1"/>
      <i val="1"/>
      <color rgb="FFFFFFFF"/>
      <sz val="11"/>
    </font>
    <font>
      <name val="Arial"/>
      <i val="1"/>
      <color rgb="FF008000"/>
      <sz val="10"/>
    </font>
    <font>
      <name val="Arial"/>
      <b val="1"/>
      <i val="1"/>
      <color rgb="FF008000"/>
      <sz val="10"/>
    </font>
    <font>
      <name val="Arial"/>
      <i val="1"/>
      <color rgb="FF7030A0"/>
      <sz val="10"/>
    </font>
    <font>
      <name val="Arial"/>
      <i val="1"/>
      <color rgb="FF548235"/>
      <sz val="10"/>
    </font>
    <font>
      <name val="Consolas"/>
      <color rgb="FF000000"/>
      <sz val="9"/>
    </font>
    <font>
      <name val="Consolas"/>
      <i val="1"/>
      <color rgb="FF4472C4"/>
      <sz val="9"/>
    </font>
    <font>
      <name val="Consolas"/>
      <b val="1"/>
      <color rgb="FFFFFFFF"/>
      <sz val="11"/>
    </font>
    <font>
      <name val="Arial"/>
      <b val="1"/>
      <color rgb="FFFFFFFF"/>
      <sz val="14"/>
    </font>
    <font>
      <name val="Arial"/>
      <i val="1"/>
      <color rgb="FF5C2D91"/>
      <sz val="10"/>
    </font>
    <font>
      <name val="Arial"/>
      <b val="1"/>
      <i val="1"/>
      <color rgb="FF5C2D91"/>
      <sz val="10"/>
    </font>
    <font>
      <name val="Arial"/>
      <b val="1"/>
      <i val="1"/>
      <color rgb="FFFFFFFF"/>
      <sz val="14"/>
    </font>
    <font>
      <name val="Arial"/>
      <family val="2"/>
      <color rgb="FF000000"/>
      <sz val="12"/>
    </font>
  </fonts>
  <fills count="90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C0C0C0"/>
        <bgColor rgb="FFC0C0C0"/>
      </patternFill>
    </fill>
    <fill>
      <patternFill patternType="solid">
        <fgColor rgb="FFFFD966"/>
        <bgColor rgb="FFFFD966"/>
      </patternFill>
    </fill>
    <fill>
      <patternFill patternType="solid">
        <fgColor rgb="FFCC99FF"/>
        <bgColor rgb="FFCC99FF"/>
      </patternFill>
    </fill>
    <fill>
      <patternFill patternType="solid">
        <fgColor rgb="FFF6B26B"/>
        <bgColor rgb="FFF6B26B"/>
      </patternFill>
    </fill>
    <fill>
      <patternFill patternType="solid">
        <fgColor rgb="FFCCFFFF"/>
        <bgColor rgb="FFCC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FCF305"/>
        <bgColor rgb="FFFCF305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1FB714"/>
        <bgColor rgb="FF1FB714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CC99"/>
        <bgColor rgb="FFFFCC99"/>
      </patternFill>
    </fill>
    <fill>
      <patternFill patternType="solid">
        <fgColor rgb="FF000090"/>
        <bgColor rgb="FF000090"/>
      </patternFill>
    </fill>
    <fill>
      <patternFill patternType="solid">
        <fgColor rgb="FF00CCFF"/>
        <bgColor rgb="FF00CCFF"/>
      </patternFill>
    </fill>
    <fill>
      <patternFill patternType="solid">
        <fgColor rgb="FFFFFF99"/>
        <bgColor rgb="FFFFFF99"/>
      </patternFill>
    </fill>
    <fill>
      <patternFill patternType="solid">
        <fgColor rgb="FFDD0806"/>
        <bgColor rgb="FFDD0806"/>
      </patternFill>
    </fill>
    <fill>
      <patternFill patternType="solid">
        <fgColor rgb="FF4600A5"/>
        <bgColor rgb="FF4600A5"/>
      </patternFill>
    </fill>
    <fill>
      <patternFill patternType="solid">
        <fgColor rgb="FF99CCFF"/>
        <bgColor rgb="FF99CCFF"/>
      </patternFill>
    </fill>
    <fill>
      <patternFill patternType="solid">
        <fgColor rgb="FF00ABEA"/>
        <bgColor rgb="FF00ABEA"/>
      </patternFill>
    </fill>
    <fill>
      <patternFill patternType="solid">
        <fgColor rgb="FF0000D4"/>
        <bgColor rgb="FF0000D4"/>
      </patternFill>
    </fill>
    <fill>
      <patternFill patternType="solid">
        <fgColor rgb="FF4A86E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C78D8"/>
        <bgColor rgb="FF3C78D8"/>
      </patternFill>
    </fill>
    <fill>
      <patternFill patternType="solid">
        <fgColor rgb="FF1C45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8D5E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D5E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6D8C3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5C2D91"/>
        <bgColor indexed="64"/>
      </patternFill>
    </fill>
    <fill>
      <patternFill patternType="solid">
        <fgColor rgb="FFE5D6F2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AAAAAA"/>
      </right>
      <top/>
      <bottom/>
      <diagonal/>
    </border>
  </borders>
  <cellStyleXfs count="2">
    <xf numFmtId="0" fontId="19" fillId="0" borderId="26"/>
    <xf numFmtId="0" fontId="19" fillId="0" borderId="26"/>
  </cellStyleXfs>
  <cellXfs count="850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3" pivotButton="0" quotePrefix="0" xfId="0"/>
    <xf numFmtId="0" fontId="1" fillId="4" borderId="4" applyAlignment="1" pivotButton="0" quotePrefix="0" xfId="0">
      <alignment horizontal="left"/>
    </xf>
    <xf numFmtId="0" fontId="1" fillId="5" borderId="4" applyAlignment="1" pivotButton="0" quotePrefix="0" xfId="0">
      <alignment horizontal="left"/>
    </xf>
    <xf numFmtId="0" fontId="1" fillId="6" borderId="4" applyAlignment="1" pivotButton="0" quotePrefix="0" xfId="0">
      <alignment horizontal="left"/>
    </xf>
    <xf numFmtId="0" fontId="1" fillId="7" borderId="4" applyAlignment="1" pivotButton="0" quotePrefix="0" xfId="0">
      <alignment horizontal="left"/>
    </xf>
    <xf numFmtId="0" fontId="1" fillId="8" borderId="4" applyAlignment="1" pivotButton="0" quotePrefix="0" xfId="0">
      <alignment horizontal="left"/>
    </xf>
    <xf numFmtId="0" fontId="1" fillId="9" borderId="4" applyAlignment="1" pivotButton="0" quotePrefix="0" xfId="0">
      <alignment horizontal="left"/>
    </xf>
    <xf numFmtId="0" fontId="1" fillId="10" borderId="4" applyAlignment="1" pivotButton="0" quotePrefix="0" xfId="0">
      <alignment horizontal="left"/>
    </xf>
    <xf numFmtId="0" fontId="1" fillId="11" borderId="4" applyAlignment="1" pivotButton="0" quotePrefix="0" xfId="0">
      <alignment horizontal="left"/>
    </xf>
    <xf numFmtId="0" fontId="1" fillId="11" borderId="5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2" borderId="2" applyAlignment="1" pivotButton="0" quotePrefix="0" xfId="0">
      <alignment horizontal="center" wrapText="1"/>
    </xf>
    <xf numFmtId="0" fontId="2" fillId="3" borderId="6" pivotButton="0" quotePrefix="0" xfId="0"/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left"/>
    </xf>
    <xf numFmtId="0" fontId="3" fillId="3" borderId="7" applyAlignment="1" pivotButton="0" quotePrefix="0" xfId="0">
      <alignment horizontal="left"/>
    </xf>
    <xf numFmtId="2" fontId="2" fillId="2" borderId="2" pivotButton="0" quotePrefix="0" xfId="0"/>
    <xf numFmtId="164" fontId="2" fillId="3" borderId="6" pivotButton="0" quotePrefix="0" xfId="0"/>
    <xf numFmtId="164" fontId="3" fillId="3" borderId="0" applyAlignment="1" pivotButton="0" quotePrefix="0" xfId="0">
      <alignment horizontal="left"/>
    </xf>
    <xf numFmtId="164" fontId="3" fillId="3" borderId="7" applyAlignment="1" pivotButton="0" quotePrefix="0" xfId="0">
      <alignment horizontal="left"/>
    </xf>
    <xf numFmtId="164" fontId="2" fillId="3" borderId="0" applyAlignment="1" pivotButton="0" quotePrefix="0" xfId="0">
      <alignment horizontal="left"/>
    </xf>
    <xf numFmtId="0" fontId="2" fillId="12" borderId="6" pivotButton="0" quotePrefix="0" xfId="0"/>
    <xf numFmtId="0" fontId="3" fillId="12" borderId="0" applyAlignment="1" pivotButton="0" quotePrefix="0" xfId="0">
      <alignment horizontal="left"/>
    </xf>
    <xf numFmtId="0" fontId="3" fillId="12" borderId="7" applyAlignment="1" pivotButton="0" quotePrefix="0" xfId="0">
      <alignment horizontal="left"/>
    </xf>
    <xf numFmtId="164" fontId="2" fillId="12" borderId="6" pivotButton="0" quotePrefix="0" xfId="0"/>
    <xf numFmtId="164" fontId="3" fillId="12" borderId="0" applyAlignment="1" pivotButton="0" quotePrefix="0" xfId="0">
      <alignment horizontal="left"/>
    </xf>
    <xf numFmtId="164" fontId="3" fillId="12" borderId="7" applyAlignment="1" pivotButton="0" quotePrefix="0" xfId="0">
      <alignment horizontal="left"/>
    </xf>
    <xf numFmtId="0" fontId="2" fillId="13" borderId="6" pivotButton="0" quotePrefix="0" xfId="0"/>
    <xf numFmtId="0" fontId="3" fillId="13" borderId="0" applyAlignment="1" pivotButton="0" quotePrefix="0" xfId="0">
      <alignment horizontal="left"/>
    </xf>
    <xf numFmtId="0" fontId="3" fillId="13" borderId="7" applyAlignment="1" pivotButton="0" quotePrefix="0" xfId="0">
      <alignment horizontal="left"/>
    </xf>
    <xf numFmtId="164" fontId="2" fillId="13" borderId="6" pivotButton="0" quotePrefix="0" xfId="0"/>
    <xf numFmtId="164" fontId="3" fillId="13" borderId="0" applyAlignment="1" pivotButton="0" quotePrefix="0" xfId="0">
      <alignment horizontal="left"/>
    </xf>
    <xf numFmtId="164" fontId="3" fillId="13" borderId="7" applyAlignment="1" pivotButton="0" quotePrefix="0" xfId="0">
      <alignment horizontal="left"/>
    </xf>
    <xf numFmtId="0" fontId="2" fillId="14" borderId="6" pivotButton="0" quotePrefix="0" xfId="0"/>
    <xf numFmtId="0" fontId="3" fillId="14" borderId="0" applyAlignment="1" pivotButton="0" quotePrefix="0" xfId="0">
      <alignment horizontal="left"/>
    </xf>
    <xf numFmtId="0" fontId="3" fillId="14" borderId="7" applyAlignment="1" pivotButton="0" quotePrefix="0" xfId="0">
      <alignment horizontal="left"/>
    </xf>
    <xf numFmtId="164" fontId="2" fillId="14" borderId="6" pivotButton="0" quotePrefix="0" xfId="0"/>
    <xf numFmtId="164" fontId="3" fillId="14" borderId="0" applyAlignment="1" pivotButton="0" quotePrefix="0" xfId="0">
      <alignment horizontal="left"/>
    </xf>
    <xf numFmtId="164" fontId="3" fillId="14" borderId="7" applyAlignment="1" pivotButton="0" quotePrefix="0" xfId="0">
      <alignment horizontal="left"/>
    </xf>
    <xf numFmtId="0" fontId="2" fillId="15" borderId="6" pivotButton="0" quotePrefix="0" xfId="0"/>
    <xf numFmtId="0" fontId="3" fillId="15" borderId="0" applyAlignment="1" pivotButton="0" quotePrefix="0" xfId="0">
      <alignment horizontal="left"/>
    </xf>
    <xf numFmtId="0" fontId="3" fillId="15" borderId="7" applyAlignment="1" pivotButton="0" quotePrefix="0" xfId="0">
      <alignment horizontal="left"/>
    </xf>
    <xf numFmtId="164" fontId="3" fillId="15" borderId="0" applyAlignment="1" pivotButton="0" quotePrefix="0" xfId="0">
      <alignment horizontal="left"/>
    </xf>
    <xf numFmtId="164" fontId="3" fillId="15" borderId="7" applyAlignment="1" pivotButton="0" quotePrefix="0" xfId="0">
      <alignment horizontal="left"/>
    </xf>
    <xf numFmtId="0" fontId="2" fillId="16" borderId="6" pivotButton="0" quotePrefix="0" xfId="0"/>
    <xf numFmtId="0" fontId="3" fillId="16" borderId="0" applyAlignment="1" pivotButton="0" quotePrefix="0" xfId="0">
      <alignment horizontal="left"/>
    </xf>
    <xf numFmtId="0" fontId="3" fillId="16" borderId="7" applyAlignment="1" pivotButton="0" quotePrefix="0" xfId="0">
      <alignment horizontal="left"/>
    </xf>
    <xf numFmtId="164" fontId="2" fillId="16" borderId="6" pivotButton="0" quotePrefix="0" xfId="0"/>
    <xf numFmtId="164" fontId="3" fillId="16" borderId="0" applyAlignment="1" pivotButton="0" quotePrefix="0" xfId="0">
      <alignment horizontal="left"/>
    </xf>
    <xf numFmtId="164" fontId="3" fillId="16" borderId="7" applyAlignment="1" pivotButton="0" quotePrefix="0" xfId="0">
      <alignment horizontal="left"/>
    </xf>
    <xf numFmtId="0" fontId="2" fillId="17" borderId="6" pivotButton="0" quotePrefix="0" xfId="0"/>
    <xf numFmtId="0" fontId="3" fillId="17" borderId="0" applyAlignment="1" pivotButton="0" quotePrefix="0" xfId="0">
      <alignment horizontal="left"/>
    </xf>
    <xf numFmtId="0" fontId="3" fillId="17" borderId="7" applyAlignment="1" pivotButton="0" quotePrefix="0" xfId="0">
      <alignment horizontal="left"/>
    </xf>
    <xf numFmtId="0" fontId="2" fillId="2" borderId="2" pivotButton="0" quotePrefix="0" xfId="0"/>
    <xf numFmtId="164" fontId="2" fillId="17" borderId="11" pivotButton="0" quotePrefix="0" xfId="0"/>
    <xf numFmtId="164" fontId="3" fillId="17" borderId="12" applyAlignment="1" pivotButton="0" quotePrefix="0" xfId="0">
      <alignment horizontal="left"/>
    </xf>
    <xf numFmtId="164" fontId="3" fillId="17" borderId="13" applyAlignment="1" pivotButton="0" quotePrefix="0" xfId="0">
      <alignment horizontal="left"/>
    </xf>
    <xf numFmtId="164" fontId="2" fillId="3" borderId="0" applyAlignment="1" pivotButton="0" quotePrefix="0" xfId="0">
      <alignment horizontal="left" wrapText="1"/>
    </xf>
    <xf numFmtId="164" fontId="2" fillId="3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9" borderId="1" pivotButton="0" quotePrefix="0" xfId="0"/>
    <xf numFmtId="2" fontId="2" fillId="18" borderId="1" pivotButton="0" quotePrefix="0" xfId="0"/>
    <xf numFmtId="2" fontId="2" fillId="4" borderId="1" applyAlignment="1" pivotButton="0" quotePrefix="0" xfId="0">
      <alignment horizontal="left"/>
    </xf>
    <xf numFmtId="2" fontId="2" fillId="5" borderId="1" applyAlignment="1" pivotButton="0" quotePrefix="0" xfId="0">
      <alignment horizontal="left"/>
    </xf>
    <xf numFmtId="2" fontId="2" fillId="6" borderId="1" applyAlignment="1" pivotButton="0" quotePrefix="0" xfId="0">
      <alignment horizontal="left"/>
    </xf>
    <xf numFmtId="2" fontId="2" fillId="7" borderId="1" applyAlignment="1" pivotButton="0" quotePrefix="0" xfId="0">
      <alignment horizontal="left"/>
    </xf>
    <xf numFmtId="2" fontId="2" fillId="8" borderId="1" applyAlignment="1" pivotButton="0" quotePrefix="0" xfId="0">
      <alignment horizontal="left"/>
    </xf>
    <xf numFmtId="2" fontId="2" fillId="9" borderId="1" applyAlignment="1" pivotButton="0" quotePrefix="0" xfId="0">
      <alignment horizontal="left"/>
    </xf>
    <xf numFmtId="2" fontId="2" fillId="10" borderId="1" applyAlignment="1" pivotButton="0" quotePrefix="0" xfId="0">
      <alignment horizontal="left"/>
    </xf>
    <xf numFmtId="2" fontId="2" fillId="11" borderId="1" applyAlignment="1" pivotButton="0" quotePrefix="0" xfId="0">
      <alignment horizontal="left"/>
    </xf>
    <xf numFmtId="2" fontId="2" fillId="3" borderId="0" applyAlignment="1" pivotButton="0" quotePrefix="0" xfId="0">
      <alignment horizontal="left"/>
    </xf>
    <xf numFmtId="49" fontId="2" fillId="4" borderId="1" applyAlignment="1" pivotButton="0" quotePrefix="0" xfId="0">
      <alignment horizontal="left"/>
    </xf>
    <xf numFmtId="49" fontId="2" fillId="5" borderId="1" applyAlignment="1" pivotButton="0" quotePrefix="0" xfId="0">
      <alignment horizontal="left"/>
    </xf>
    <xf numFmtId="49" fontId="2" fillId="6" borderId="1" applyAlignment="1" pivotButton="0" quotePrefix="0" xfId="0">
      <alignment horizontal="left"/>
    </xf>
    <xf numFmtId="49" fontId="2" fillId="7" borderId="1" applyAlignment="1" pivotButton="0" quotePrefix="0" xfId="0">
      <alignment horizontal="left"/>
    </xf>
    <xf numFmtId="49" fontId="2" fillId="8" borderId="1" applyAlignment="1" pivotButton="0" quotePrefix="0" xfId="0">
      <alignment horizontal="left"/>
    </xf>
    <xf numFmtId="49" fontId="2" fillId="9" borderId="1" applyAlignment="1" pivotButton="0" quotePrefix="0" xfId="0">
      <alignment horizontal="left"/>
    </xf>
    <xf numFmtId="49" fontId="2" fillId="10" borderId="1" applyAlignment="1" pivotButton="0" quotePrefix="0" xfId="0">
      <alignment horizontal="left"/>
    </xf>
    <xf numFmtId="49" fontId="2" fillId="11" borderId="1" applyAlignment="1" pivotButton="0" quotePrefix="0" xfId="0">
      <alignment horizontal="left"/>
    </xf>
    <xf numFmtId="165" fontId="2" fillId="5" borderId="1" applyAlignment="1" pivotButton="0" quotePrefix="0" xfId="0">
      <alignment horizontal="left"/>
    </xf>
    <xf numFmtId="165" fontId="2" fillId="7" borderId="1" applyAlignment="1" pivotButton="0" quotePrefix="0" xfId="0">
      <alignment horizontal="left"/>
    </xf>
    <xf numFmtId="165" fontId="2" fillId="8" borderId="1" applyAlignment="1" pivotButton="0" quotePrefix="0" xfId="0">
      <alignment horizontal="left"/>
    </xf>
    <xf numFmtId="165" fontId="2" fillId="9" borderId="1" applyAlignment="1" pivotButton="0" quotePrefix="0" xfId="0">
      <alignment horizontal="left"/>
    </xf>
    <xf numFmtId="165" fontId="2" fillId="10" borderId="1" applyAlignment="1" pivotButton="0" quotePrefix="0" xfId="0">
      <alignment horizontal="left"/>
    </xf>
    <xf numFmtId="165" fontId="2" fillId="11" borderId="1" applyAlignment="1" pivotButton="0" quotePrefix="0" xfId="0">
      <alignment horizontal="left"/>
    </xf>
    <xf numFmtId="165" fontId="2" fillId="6" borderId="1" applyAlignment="1" pivotButton="0" quotePrefix="0" xfId="0">
      <alignment horizontal="left"/>
    </xf>
    <xf numFmtId="0" fontId="2" fillId="9" borderId="1" pivotButton="0" quotePrefix="0" xfId="0"/>
    <xf numFmtId="0" fontId="2" fillId="18" borderId="1" pivotButton="0" quotePrefix="0" xfId="0"/>
    <xf numFmtId="0" fontId="2" fillId="19" borderId="1" pivotButton="0" quotePrefix="0" xfId="0"/>
    <xf numFmtId="166" fontId="2" fillId="4" borderId="1" applyAlignment="1" pivotButton="0" quotePrefix="0" xfId="0">
      <alignment horizontal="left"/>
    </xf>
    <xf numFmtId="166" fontId="2" fillId="5" borderId="1" applyAlignment="1" pivotButton="0" quotePrefix="0" xfId="0">
      <alignment horizontal="left"/>
    </xf>
    <xf numFmtId="166" fontId="2" fillId="6" borderId="1" applyAlignment="1" pivotButton="0" quotePrefix="0" xfId="0">
      <alignment horizontal="left"/>
    </xf>
    <xf numFmtId="166" fontId="2" fillId="7" borderId="1" applyAlignment="1" pivotButton="0" quotePrefix="0" xfId="0">
      <alignment horizontal="left"/>
    </xf>
    <xf numFmtId="166" fontId="2" fillId="8" borderId="1" applyAlignment="1" pivotButton="0" quotePrefix="0" xfId="0">
      <alignment horizontal="left"/>
    </xf>
    <xf numFmtId="166" fontId="2" fillId="9" borderId="1" applyAlignment="1" pivotButton="0" quotePrefix="0" xfId="0">
      <alignment horizontal="left"/>
    </xf>
    <xf numFmtId="166" fontId="2" fillId="10" borderId="1" applyAlignment="1" pivotButton="0" quotePrefix="0" xfId="0">
      <alignment horizontal="left"/>
    </xf>
    <xf numFmtId="166" fontId="2" fillId="11" borderId="1" applyAlignment="1" pivotButton="0" quotePrefix="0" xfId="0">
      <alignment horizontal="left"/>
    </xf>
    <xf numFmtId="0" fontId="2" fillId="9" borderId="0" pivotButton="0" quotePrefix="0" xfId="0"/>
    <xf numFmtId="0" fontId="2" fillId="20" borderId="1" pivotButton="0" quotePrefix="0" xfId="0"/>
    <xf numFmtId="165" fontId="2" fillId="4" borderId="1" applyAlignment="1" pivotButton="0" quotePrefix="0" xfId="0">
      <alignment horizontal="left"/>
    </xf>
    <xf numFmtId="165" fontId="2" fillId="9" borderId="1" pivotButton="0" quotePrefix="0" xfId="0"/>
    <xf numFmtId="165" fontId="2" fillId="20" borderId="1" pivotButton="0" quotePrefix="0" xfId="0"/>
    <xf numFmtId="165" fontId="2" fillId="3" borderId="0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0" fontId="2" fillId="8" borderId="1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10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165" fontId="2" fillId="5" borderId="1" pivotButton="0" quotePrefix="0" xfId="0"/>
    <xf numFmtId="165" fontId="3" fillId="4" borderId="1" applyAlignment="1" pivotButton="0" quotePrefix="0" xfId="0">
      <alignment horizontal="left"/>
    </xf>
    <xf numFmtId="165" fontId="3" fillId="5" borderId="1" applyAlignment="1" pivotButton="0" quotePrefix="0" xfId="0">
      <alignment horizontal="left"/>
    </xf>
    <xf numFmtId="165" fontId="3" fillId="6" borderId="1" applyAlignment="1" pivotButton="0" quotePrefix="0" xfId="0">
      <alignment horizontal="left"/>
    </xf>
    <xf numFmtId="165" fontId="3" fillId="7" borderId="1" applyAlignment="1" pivotButton="0" quotePrefix="0" xfId="0">
      <alignment horizontal="left"/>
    </xf>
    <xf numFmtId="165" fontId="3" fillId="8" borderId="1" applyAlignment="1" pivotButton="0" quotePrefix="0" xfId="0">
      <alignment horizontal="left"/>
    </xf>
    <xf numFmtId="165" fontId="3" fillId="9" borderId="1" applyAlignment="1" pivotButton="0" quotePrefix="0" xfId="0">
      <alignment horizontal="left"/>
    </xf>
    <xf numFmtId="165" fontId="3" fillId="10" borderId="1" applyAlignment="1" pivotButton="0" quotePrefix="0" xfId="0">
      <alignment horizontal="left"/>
    </xf>
    <xf numFmtId="165" fontId="3" fillId="11" borderId="1" applyAlignment="1" pivotButton="0" quotePrefix="0" xfId="0">
      <alignment horizontal="left"/>
    </xf>
    <xf numFmtId="165" fontId="2" fillId="21" borderId="1" pivotButton="0" quotePrefix="0" xfId="0"/>
    <xf numFmtId="165" fontId="2" fillId="22" borderId="1" pivotButton="0" quotePrefix="0" xfId="0"/>
    <xf numFmtId="165" fontId="2" fillId="6" borderId="1" pivotButton="0" quotePrefix="0" xfId="0"/>
    <xf numFmtId="165" fontId="2" fillId="18" borderId="1" pivotButton="0" quotePrefix="0" xfId="0"/>
    <xf numFmtId="165" fontId="2" fillId="23" borderId="1" pivotButton="0" quotePrefix="0" xfId="0"/>
    <xf numFmtId="0" fontId="2" fillId="3" borderId="0" applyAlignment="1" pivotButton="0" quotePrefix="0" xfId="0">
      <alignment vertical="center" wrapText="1"/>
    </xf>
    <xf numFmtId="2" fontId="2" fillId="3" borderId="0" pivotButton="0" quotePrefix="0" xfId="0"/>
    <xf numFmtId="2" fontId="2" fillId="2" borderId="1" pivotButton="0" quotePrefix="0" xfId="0"/>
    <xf numFmtId="2" fontId="2" fillId="24" borderId="1" pivotButton="0" quotePrefix="0" xfId="0"/>
    <xf numFmtId="0" fontId="2" fillId="2" borderId="1" pivotButton="0" quotePrefix="0" xfId="0"/>
    <xf numFmtId="0" fontId="2" fillId="24" borderId="1" pivotButton="0" quotePrefix="0" xfId="0"/>
    <xf numFmtId="165" fontId="2" fillId="2" borderId="1" pivotButton="0" quotePrefix="0" xfId="0"/>
    <xf numFmtId="165" fontId="2" fillId="25" borderId="1" pivotButton="0" quotePrefix="0" xfId="0"/>
    <xf numFmtId="2" fontId="2" fillId="5" borderId="1" pivotButton="0" quotePrefix="0" xfId="0"/>
    <xf numFmtId="2" fontId="2" fillId="21" borderId="1" pivotButton="0" quotePrefix="0" xfId="0"/>
    <xf numFmtId="2" fontId="2" fillId="22" borderId="1" pivotButton="0" quotePrefix="0" xfId="0"/>
    <xf numFmtId="2" fontId="2" fillId="6" borderId="1" pivotButton="0" quotePrefix="0" xfId="0"/>
    <xf numFmtId="2" fontId="2" fillId="23" borderId="1" pivotButton="0" quotePrefix="0" xfId="0"/>
    <xf numFmtId="0" fontId="4" fillId="2" borderId="1" pivotButton="0" quotePrefix="0" xfId="0"/>
    <xf numFmtId="0" fontId="4" fillId="26" borderId="1" pivotButton="0" quotePrefix="0" xfId="0"/>
    <xf numFmtId="2" fontId="4" fillId="4" borderId="1" applyAlignment="1" pivotButton="0" quotePrefix="0" xfId="0">
      <alignment horizontal="left"/>
    </xf>
    <xf numFmtId="2" fontId="4" fillId="5" borderId="1" applyAlignment="1" pivotButton="0" quotePrefix="0" xfId="0">
      <alignment horizontal="left"/>
    </xf>
    <xf numFmtId="2" fontId="4" fillId="6" borderId="1" applyAlignment="1" pivotButton="0" quotePrefix="0" xfId="0">
      <alignment horizontal="left"/>
    </xf>
    <xf numFmtId="2" fontId="4" fillId="7" borderId="1" applyAlignment="1" pivotButton="0" quotePrefix="0" xfId="0">
      <alignment horizontal="left"/>
    </xf>
    <xf numFmtId="2" fontId="4" fillId="8" borderId="1" applyAlignment="1" pivotButton="0" quotePrefix="0" xfId="0">
      <alignment horizontal="left"/>
    </xf>
    <xf numFmtId="2" fontId="4" fillId="9" borderId="1" applyAlignment="1" pivotButton="0" quotePrefix="0" xfId="0">
      <alignment horizontal="left"/>
    </xf>
    <xf numFmtId="2" fontId="4" fillId="10" borderId="1" applyAlignment="1" pivotButton="0" quotePrefix="0" xfId="0">
      <alignment horizontal="left"/>
    </xf>
    <xf numFmtId="2" fontId="4" fillId="11" borderId="1" applyAlignment="1" pivotButton="0" quotePrefix="0" xfId="0">
      <alignment horizontal="left"/>
    </xf>
    <xf numFmtId="2" fontId="2" fillId="27" borderId="10" pivotButton="0" quotePrefix="0" xfId="0"/>
    <xf numFmtId="2" fontId="3" fillId="4" borderId="10" applyAlignment="1" pivotButton="0" quotePrefix="0" xfId="0">
      <alignment horizontal="left"/>
    </xf>
    <xf numFmtId="2" fontId="3" fillId="5" borderId="10" applyAlignment="1" pivotButton="0" quotePrefix="0" xfId="0">
      <alignment horizontal="left"/>
    </xf>
    <xf numFmtId="2" fontId="3" fillId="6" borderId="10" applyAlignment="1" pivotButton="0" quotePrefix="0" xfId="0">
      <alignment horizontal="left"/>
    </xf>
    <xf numFmtId="2" fontId="3" fillId="7" borderId="10" applyAlignment="1" pivotButton="0" quotePrefix="0" xfId="0">
      <alignment horizontal="left"/>
    </xf>
    <xf numFmtId="2" fontId="3" fillId="8" borderId="10" applyAlignment="1" pivotButton="0" quotePrefix="0" xfId="0">
      <alignment horizontal="left"/>
    </xf>
    <xf numFmtId="2" fontId="3" fillId="9" borderId="10" applyAlignment="1" pivotButton="0" quotePrefix="0" xfId="0">
      <alignment horizontal="left"/>
    </xf>
    <xf numFmtId="2" fontId="3" fillId="10" borderId="10" applyAlignment="1" pivotButton="0" quotePrefix="0" xfId="0">
      <alignment horizontal="left"/>
    </xf>
    <xf numFmtId="2" fontId="3" fillId="11" borderId="10" applyAlignment="1" pivotButton="0" quotePrefix="0" xfId="0">
      <alignment horizontal="left"/>
    </xf>
    <xf numFmtId="0" fontId="2" fillId="27" borderId="1" pivotButton="0" quotePrefix="0" xfId="0"/>
    <xf numFmtId="2" fontId="3" fillId="4" borderId="1" applyAlignment="1" pivotButton="0" quotePrefix="0" xfId="0">
      <alignment horizontal="left"/>
    </xf>
    <xf numFmtId="2" fontId="3" fillId="5" borderId="1" applyAlignment="1" pivotButton="0" quotePrefix="0" xfId="0">
      <alignment horizontal="left"/>
    </xf>
    <xf numFmtId="2" fontId="3" fillId="6" borderId="1" applyAlignment="1" pivotButton="0" quotePrefix="0" xfId="0">
      <alignment horizontal="left"/>
    </xf>
    <xf numFmtId="2" fontId="3" fillId="7" borderId="1" applyAlignment="1" pivotButton="0" quotePrefix="0" xfId="0">
      <alignment horizontal="left"/>
    </xf>
    <xf numFmtId="2" fontId="3" fillId="8" borderId="1" applyAlignment="1" pivotButton="0" quotePrefix="0" xfId="0">
      <alignment horizontal="left"/>
    </xf>
    <xf numFmtId="2" fontId="3" fillId="9" borderId="1" applyAlignment="1" pivotButton="0" quotePrefix="0" xfId="0">
      <alignment horizontal="left"/>
    </xf>
    <xf numFmtId="2" fontId="3" fillId="10" borderId="1" applyAlignment="1" pivotButton="0" quotePrefix="0" xfId="0">
      <alignment horizontal="left"/>
    </xf>
    <xf numFmtId="2" fontId="3" fillId="11" borderId="1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2" fontId="2" fillId="27" borderId="1" pivotButton="0" quotePrefix="0" xfId="0"/>
    <xf numFmtId="2" fontId="3" fillId="2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0" fontId="3" fillId="7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3" fillId="10" borderId="1" applyAlignment="1" pivotButton="0" quotePrefix="0" xfId="0">
      <alignment horizontal="left"/>
    </xf>
    <xf numFmtId="0" fontId="3" fillId="11" borderId="1" applyAlignment="1" pivotButton="0" quotePrefix="0" xfId="0">
      <alignment horizontal="left"/>
    </xf>
    <xf numFmtId="0" fontId="4" fillId="3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vertical="center" wrapText="1"/>
    </xf>
    <xf numFmtId="2" fontId="2" fillId="28" borderId="2" pivotButton="0" quotePrefix="0" xfId="0"/>
    <xf numFmtId="164" fontId="2" fillId="3" borderId="1" pivotButton="0" quotePrefix="0" xfId="0"/>
    <xf numFmtId="164" fontId="3" fillId="3" borderId="1" applyAlignment="1" pivotButton="0" quotePrefix="0" xfId="0">
      <alignment horizontal="left"/>
    </xf>
    <xf numFmtId="164" fontId="2" fillId="12" borderId="1" pivotButton="0" quotePrefix="0" xfId="0"/>
    <xf numFmtId="164" fontId="3" fillId="12" borderId="1" applyAlignment="1" pivotButton="0" quotePrefix="0" xfId="0">
      <alignment horizontal="left"/>
    </xf>
    <xf numFmtId="164" fontId="2" fillId="13" borderId="1" pivotButton="0" quotePrefix="0" xfId="0"/>
    <xf numFmtId="164" fontId="3" fillId="13" borderId="1" applyAlignment="1" pivotButton="0" quotePrefix="0" xfId="0">
      <alignment horizontal="left"/>
    </xf>
    <xf numFmtId="164" fontId="2" fillId="14" borderId="1" pivotButton="0" quotePrefix="0" xfId="0"/>
    <xf numFmtId="164" fontId="3" fillId="14" borderId="1" applyAlignment="1" pivotButton="0" quotePrefix="0" xfId="0">
      <alignment horizontal="left"/>
    </xf>
    <xf numFmtId="0" fontId="2" fillId="15" borderId="1" pivotButton="0" quotePrefix="0" xfId="0"/>
    <xf numFmtId="164" fontId="3" fillId="15" borderId="1" applyAlignment="1" pivotButton="0" quotePrefix="0" xfId="0">
      <alignment horizontal="left"/>
    </xf>
    <xf numFmtId="164" fontId="2" fillId="16" borderId="1" pivotButton="0" quotePrefix="0" xfId="0"/>
    <xf numFmtId="164" fontId="3" fillId="16" borderId="1" applyAlignment="1" pivotButton="0" quotePrefix="0" xfId="0">
      <alignment horizontal="left"/>
    </xf>
    <xf numFmtId="0" fontId="2" fillId="28" borderId="2" pivotButton="0" quotePrefix="0" xfId="0"/>
    <xf numFmtId="164" fontId="2" fillId="17" borderId="1" pivotButton="0" quotePrefix="0" xfId="0"/>
    <xf numFmtId="164" fontId="3" fillId="17" borderId="1" applyAlignment="1" pivotButton="0" quotePrefix="0" xfId="0">
      <alignment horizontal="left"/>
    </xf>
    <xf numFmtId="0" fontId="4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29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4" fillId="24" borderId="0" applyAlignment="1" pivotButton="0" quotePrefix="0" xfId="0">
      <alignment horizontal="left"/>
    </xf>
    <xf numFmtId="0" fontId="2" fillId="30" borderId="0" pivotButton="0" quotePrefix="0" xfId="0"/>
    <xf numFmtId="0" fontId="2" fillId="21" borderId="0" applyAlignment="1" pivotButton="0" quotePrefix="0" xfId="0">
      <alignment horizontal="left"/>
    </xf>
    <xf numFmtId="0" fontId="2" fillId="31" borderId="0" applyAlignment="1" pivotButton="0" quotePrefix="0" xfId="0">
      <alignment horizontal="left"/>
    </xf>
    <xf numFmtId="0" fontId="2" fillId="32" borderId="0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2" fillId="33" borderId="0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0" fontId="2" fillId="10" borderId="0" applyAlignment="1" pivotButton="0" quotePrefix="0" xfId="0">
      <alignment horizontal="left"/>
    </xf>
    <xf numFmtId="0" fontId="2" fillId="34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2" fontId="2" fillId="27" borderId="0" pivotButton="0" quotePrefix="0" xfId="0"/>
    <xf numFmtId="2" fontId="2" fillId="24" borderId="0" pivotButton="0" quotePrefix="0" xfId="0"/>
    <xf numFmtId="2" fontId="2" fillId="21" borderId="0" applyAlignment="1" pivotButton="0" quotePrefix="0" xfId="0">
      <alignment horizontal="left"/>
    </xf>
    <xf numFmtId="2" fontId="2" fillId="31" borderId="0" applyAlignment="1" pivotButton="0" quotePrefix="0" xfId="0">
      <alignment horizontal="left"/>
    </xf>
    <xf numFmtId="2" fontId="2" fillId="32" borderId="0" applyAlignment="1" pivotButton="0" quotePrefix="0" xfId="0">
      <alignment horizontal="left"/>
    </xf>
    <xf numFmtId="2" fontId="2" fillId="6" borderId="0" applyAlignment="1" pivotButton="0" quotePrefix="0" xfId="0">
      <alignment horizontal="left"/>
    </xf>
    <xf numFmtId="2" fontId="2" fillId="33" borderId="0" applyAlignment="1" pivotButton="0" quotePrefix="0" xfId="0">
      <alignment horizontal="left"/>
    </xf>
    <xf numFmtId="2" fontId="2" fillId="8" borderId="0" applyAlignment="1" pivotButton="0" quotePrefix="0" xfId="0">
      <alignment horizontal="left"/>
    </xf>
    <xf numFmtId="2" fontId="2" fillId="10" borderId="0" applyAlignment="1" pivotButton="0" quotePrefix="0" xfId="0">
      <alignment horizontal="left"/>
    </xf>
    <xf numFmtId="2" fontId="2" fillId="34" borderId="0" applyAlignment="1" pivotButton="0" quotePrefix="0" xfId="0">
      <alignment horizontal="left"/>
    </xf>
    <xf numFmtId="2" fontId="2" fillId="7" borderId="0" applyAlignment="1" pivotButton="0" quotePrefix="0" xfId="0">
      <alignment horizontal="left"/>
    </xf>
    <xf numFmtId="2" fontId="2" fillId="9" borderId="0" applyAlignment="1" pivotButton="0" quotePrefix="0" xfId="0">
      <alignment horizontal="left"/>
    </xf>
    <xf numFmtId="165" fontId="2" fillId="7" borderId="0" applyAlignment="1" pivotButton="0" quotePrefix="0" xfId="0">
      <alignment horizontal="left"/>
    </xf>
    <xf numFmtId="165" fontId="2" fillId="9" borderId="0" applyAlignment="1" pivotButton="0" quotePrefix="0" xfId="0">
      <alignment horizontal="left"/>
    </xf>
    <xf numFmtId="0" fontId="2" fillId="27" borderId="0" pivotButton="0" quotePrefix="0" xfId="0"/>
    <xf numFmtId="0" fontId="2" fillId="24" borderId="0" pivotButton="0" quotePrefix="0" xfId="0"/>
    <xf numFmtId="165" fontId="2" fillId="21" borderId="0" applyAlignment="1" pivotButton="0" quotePrefix="0" xfId="0">
      <alignment horizontal="left"/>
    </xf>
    <xf numFmtId="165" fontId="2" fillId="31" borderId="0" applyAlignment="1" pivotButton="0" quotePrefix="0" xfId="0">
      <alignment horizontal="left"/>
    </xf>
    <xf numFmtId="165" fontId="2" fillId="32" borderId="0" applyAlignment="1" pivotButton="0" quotePrefix="0" xfId="0">
      <alignment horizontal="left"/>
    </xf>
    <xf numFmtId="165" fontId="2" fillId="6" borderId="0" applyAlignment="1" pivotButton="0" quotePrefix="0" xfId="0">
      <alignment horizontal="left"/>
    </xf>
    <xf numFmtId="165" fontId="2" fillId="33" borderId="0" applyAlignment="1" pivotButton="0" quotePrefix="0" xfId="0">
      <alignment horizontal="left"/>
    </xf>
    <xf numFmtId="165" fontId="2" fillId="8" borderId="0" applyAlignment="1" pivotButton="0" quotePrefix="0" xfId="0">
      <alignment horizontal="left"/>
    </xf>
    <xf numFmtId="165" fontId="2" fillId="10" borderId="0" applyAlignment="1" pivotButton="0" quotePrefix="0" xfId="0">
      <alignment horizontal="left"/>
    </xf>
    <xf numFmtId="165" fontId="2" fillId="34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2" fontId="2" fillId="18" borderId="0" pivotButton="0" quotePrefix="0" xfId="0"/>
    <xf numFmtId="2" fontId="2" fillId="0" borderId="0" applyAlignment="1" pivotButton="0" quotePrefix="0" xfId="0">
      <alignment horizontal="left"/>
    </xf>
    <xf numFmtId="0" fontId="2" fillId="18" borderId="0" pivotButton="0" quotePrefix="0" xfId="0"/>
    <xf numFmtId="0" fontId="2" fillId="2" borderId="0" pivotButton="0" quotePrefix="0" xfId="0"/>
    <xf numFmtId="167" fontId="2" fillId="33" borderId="0" applyAlignment="1" pivotButton="0" quotePrefix="0" xfId="0">
      <alignment horizontal="left"/>
    </xf>
    <xf numFmtId="167" fontId="2" fillId="8" borderId="0" applyAlignment="1" pivotButton="0" quotePrefix="0" xfId="0">
      <alignment horizontal="left"/>
    </xf>
    <xf numFmtId="167" fontId="2" fillId="10" borderId="0" applyAlignment="1" pivotButton="0" quotePrefix="0" xfId="0">
      <alignment horizontal="left"/>
    </xf>
    <xf numFmtId="165" fontId="2" fillId="25" borderId="0" pivotButton="0" quotePrefix="0" xfId="0"/>
    <xf numFmtId="165" fontId="2" fillId="20" borderId="0" pivotButton="0" quotePrefix="0" xfId="0"/>
    <xf numFmtId="0" fontId="2" fillId="20" borderId="0" pivotButton="0" quotePrefix="0" xfId="0"/>
    <xf numFmtId="0" fontId="4" fillId="3" borderId="0" applyAlignment="1" pivotButton="0" quotePrefix="0" xfId="0">
      <alignment horizontal="right"/>
    </xf>
    <xf numFmtId="165" fontId="4" fillId="0" borderId="0" pivotButton="0" quotePrefix="0" xfId="0"/>
    <xf numFmtId="0" fontId="4" fillId="2" borderId="0" pivotButton="0" quotePrefix="0" xfId="0"/>
    <xf numFmtId="0" fontId="7" fillId="2" borderId="0" pivotButton="0" quotePrefix="0" xfId="0"/>
    <xf numFmtId="164" fontId="2" fillId="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left"/>
    </xf>
    <xf numFmtId="164" fontId="2" fillId="12" borderId="0" pivotButton="0" quotePrefix="0" xfId="0"/>
    <xf numFmtId="164" fontId="8" fillId="12" borderId="0" applyAlignment="1" pivotButton="0" quotePrefix="0" xfId="0">
      <alignment horizontal="left"/>
    </xf>
    <xf numFmtId="165" fontId="2" fillId="12" borderId="0" pivotButton="0" quotePrefix="0" xfId="0"/>
    <xf numFmtId="165" fontId="2" fillId="2" borderId="0" pivotButton="0" quotePrefix="0" xfId="0"/>
    <xf numFmtId="165" fontId="3" fillId="12" borderId="0" applyAlignment="1" pivotButton="0" quotePrefix="0" xfId="0">
      <alignment horizontal="left"/>
    </xf>
    <xf numFmtId="165" fontId="8" fillId="12" borderId="0" applyAlignment="1" pivotButton="0" quotePrefix="0" xfId="0">
      <alignment horizontal="left"/>
    </xf>
    <xf numFmtId="0" fontId="2" fillId="13" borderId="0" pivotButton="0" quotePrefix="0" xfId="0"/>
    <xf numFmtId="0" fontId="2" fillId="13" borderId="0" applyAlignment="1" pivotButton="0" quotePrefix="0" xfId="0">
      <alignment horizontal="left"/>
    </xf>
    <xf numFmtId="164" fontId="2" fillId="13" borderId="0" pivotButton="0" quotePrefix="0" xfId="0"/>
    <xf numFmtId="164" fontId="8" fillId="13" borderId="0" applyAlignment="1" pivotButton="0" quotePrefix="0" xfId="0">
      <alignment horizontal="left"/>
    </xf>
    <xf numFmtId="165" fontId="2" fillId="13" borderId="0" pivotButton="0" quotePrefix="0" xfId="0"/>
    <xf numFmtId="165" fontId="3" fillId="13" borderId="0" applyAlignment="1" pivotButton="0" quotePrefix="0" xfId="0">
      <alignment horizontal="left"/>
    </xf>
    <xf numFmtId="165" fontId="8" fillId="13" borderId="0" applyAlignment="1" pivotButton="0" quotePrefix="0" xfId="0">
      <alignment horizontal="left"/>
    </xf>
    <xf numFmtId="0" fontId="2" fillId="14" borderId="0" pivotButton="0" quotePrefix="0" xfId="0"/>
    <xf numFmtId="0" fontId="2" fillId="14" borderId="0" applyAlignment="1" pivotButton="0" quotePrefix="0" xfId="0">
      <alignment horizontal="left"/>
    </xf>
    <xf numFmtId="164" fontId="2" fillId="14" borderId="0" pivotButton="0" quotePrefix="0" xfId="0"/>
    <xf numFmtId="164" fontId="8" fillId="14" borderId="0" applyAlignment="1" pivotButton="0" quotePrefix="0" xfId="0">
      <alignment horizontal="left"/>
    </xf>
    <xf numFmtId="165" fontId="2" fillId="14" borderId="0" pivotButton="0" quotePrefix="0" xfId="0"/>
    <xf numFmtId="165" fontId="3" fillId="14" borderId="0" applyAlignment="1" pivotButton="0" quotePrefix="0" xfId="0">
      <alignment horizontal="left"/>
    </xf>
    <xf numFmtId="165" fontId="8" fillId="14" borderId="0" applyAlignment="1" pivotButton="0" quotePrefix="0" xfId="0">
      <alignment horizontal="left"/>
    </xf>
    <xf numFmtId="0" fontId="2" fillId="15" borderId="0" pivotButton="0" quotePrefix="0" xfId="0"/>
    <xf numFmtId="0" fontId="2" fillId="15" borderId="0" applyAlignment="1" pivotButton="0" quotePrefix="0" xfId="0">
      <alignment horizontal="left"/>
    </xf>
    <xf numFmtId="164" fontId="2" fillId="15" borderId="0" applyAlignment="1" pivotButton="0" quotePrefix="0" xfId="0">
      <alignment horizontal="left"/>
    </xf>
    <xf numFmtId="165" fontId="2" fillId="15" borderId="0" pivotButton="0" quotePrefix="0" xfId="0"/>
    <xf numFmtId="165" fontId="2" fillId="15" borderId="0" applyAlignment="1" pivotButton="0" quotePrefix="0" xfId="0">
      <alignment horizontal="left"/>
    </xf>
    <xf numFmtId="0" fontId="2" fillId="16" borderId="0" pivotButton="0" quotePrefix="0" xfId="0"/>
    <xf numFmtId="0" fontId="2" fillId="16" borderId="0" applyAlignment="1" pivotButton="0" quotePrefix="0" xfId="0">
      <alignment horizontal="left"/>
    </xf>
    <xf numFmtId="164" fontId="2" fillId="16" borderId="0" pivotButton="0" quotePrefix="0" xfId="0"/>
    <xf numFmtId="164" fontId="8" fillId="16" borderId="0" applyAlignment="1" pivotButton="0" quotePrefix="0" xfId="0">
      <alignment horizontal="left"/>
    </xf>
    <xf numFmtId="165" fontId="2" fillId="16" borderId="0" pivotButton="0" quotePrefix="0" xfId="0"/>
    <xf numFmtId="165" fontId="3" fillId="16" borderId="0" applyAlignment="1" pivotButton="0" quotePrefix="0" xfId="0">
      <alignment horizontal="left"/>
    </xf>
    <xf numFmtId="165" fontId="8" fillId="16" borderId="0" applyAlignment="1" pivotButton="0" quotePrefix="0" xfId="0">
      <alignment horizontal="left"/>
    </xf>
    <xf numFmtId="0" fontId="2" fillId="17" borderId="0" pivotButton="0" quotePrefix="0" xfId="0"/>
    <xf numFmtId="0" fontId="2" fillId="17" borderId="0" applyAlignment="1" pivotButton="0" quotePrefix="0" xfId="0">
      <alignment horizontal="left"/>
    </xf>
    <xf numFmtId="164" fontId="2" fillId="17" borderId="0" pivotButton="0" quotePrefix="0" xfId="0"/>
    <xf numFmtId="164" fontId="8" fillId="17" borderId="0" applyAlignment="1" pivotButton="0" quotePrefix="0" xfId="0">
      <alignment horizontal="left"/>
    </xf>
    <xf numFmtId="165" fontId="2" fillId="17" borderId="0" pivotButton="0" quotePrefix="0" xfId="0"/>
    <xf numFmtId="165" fontId="3" fillId="17" borderId="0" applyAlignment="1" pivotButton="0" quotePrefix="0" xfId="0">
      <alignment horizontal="left"/>
    </xf>
    <xf numFmtId="165" fontId="8" fillId="17" borderId="0" applyAlignment="1" pivotButton="0" quotePrefix="0" xfId="0">
      <alignment horizontal="left"/>
    </xf>
    <xf numFmtId="165" fontId="2" fillId="3" borderId="0" pivotButton="0" quotePrefix="0" xfId="0"/>
    <xf numFmtId="165" fontId="3" fillId="3" borderId="0" applyAlignment="1" pivotButton="0" quotePrefix="0" xfId="0">
      <alignment horizontal="left"/>
    </xf>
    <xf numFmtId="165" fontId="8" fillId="3" borderId="0" applyAlignment="1" pivotButton="0" quotePrefix="0" xfId="0">
      <alignment horizontal="left"/>
    </xf>
    <xf numFmtId="165" fontId="1" fillId="25" borderId="0" pivotButton="0" quotePrefix="0" xfId="0"/>
    <xf numFmtId="0" fontId="2" fillId="25" borderId="0" pivotButton="0" quotePrefix="0" xfId="0"/>
    <xf numFmtId="164" fontId="2" fillId="25" borderId="0" pivotButton="0" quotePrefix="0" xfId="0"/>
    <xf numFmtId="49" fontId="4" fillId="0" borderId="0" pivotButton="0" quotePrefix="0" xfId="0"/>
    <xf numFmtId="168" fontId="4" fillId="0" borderId="0" pivotButton="0" quotePrefix="0" xfId="0"/>
    <xf numFmtId="14" fontId="4" fillId="0" borderId="0" pivotButton="0" quotePrefix="0" xfId="0"/>
    <xf numFmtId="49" fontId="4" fillId="30" borderId="0" pivotButton="0" quotePrefix="0" xfId="0"/>
    <xf numFmtId="168" fontId="4" fillId="30" borderId="0" pivotButton="0" quotePrefix="0" xfId="0"/>
    <xf numFmtId="0" fontId="4" fillId="30" borderId="0" pivotButton="0" quotePrefix="0" xfId="0"/>
    <xf numFmtId="14" fontId="4" fillId="30" borderId="0" pivotButton="0" quotePrefix="0" xfId="0"/>
    <xf numFmtId="169" fontId="4" fillId="30" borderId="0" pivotButton="0" quotePrefix="0" xfId="0"/>
    <xf numFmtId="170" fontId="4" fillId="30" borderId="0" pivotButton="0" quotePrefix="0" xfId="0"/>
    <xf numFmtId="0" fontId="4" fillId="24" borderId="0" pivotButton="0" quotePrefix="0" xfId="0"/>
    <xf numFmtId="169" fontId="4" fillId="0" borderId="0" pivotButton="0" quotePrefix="0" xfId="0"/>
    <xf numFmtId="170" fontId="4" fillId="0" borderId="0" pivotButton="0" quotePrefix="0" xfId="0"/>
    <xf numFmtId="0" fontId="4" fillId="35" borderId="0" pivotButton="0" quotePrefix="0" xfId="0"/>
    <xf numFmtId="49" fontId="4" fillId="29" borderId="0" pivotButton="0" quotePrefix="0" xfId="0"/>
    <xf numFmtId="168" fontId="4" fillId="29" borderId="0" pivotButton="0" quotePrefix="0" xfId="0"/>
    <xf numFmtId="0" fontId="4" fillId="29" borderId="0" pivotButton="0" quotePrefix="0" xfId="0"/>
    <xf numFmtId="14" fontId="4" fillId="29" borderId="0" pivotButton="0" quotePrefix="0" xfId="0"/>
    <xf numFmtId="169" fontId="4" fillId="29" borderId="0" pivotButton="0" quotePrefix="0" xfId="0"/>
    <xf numFmtId="170" fontId="4" fillId="29" borderId="0" pivotButton="0" quotePrefix="0" xfId="0"/>
    <xf numFmtId="49" fontId="4" fillId="24" borderId="0" pivotButton="0" quotePrefix="0" xfId="0"/>
    <xf numFmtId="168" fontId="4" fillId="24" borderId="0" pivotButton="0" quotePrefix="0" xfId="0"/>
    <xf numFmtId="14" fontId="4" fillId="24" borderId="0" pivotButton="0" quotePrefix="0" xfId="0"/>
    <xf numFmtId="168" fontId="4" fillId="3" borderId="0" pivotButton="0" quotePrefix="0" xfId="0"/>
    <xf numFmtId="0" fontId="0" fillId="3" borderId="0" pivotButton="0" quotePrefix="0" xfId="0"/>
    <xf numFmtId="49" fontId="0" fillId="36" borderId="0" pivotButton="0" quotePrefix="0" xfId="0"/>
    <xf numFmtId="49" fontId="0" fillId="3" borderId="0" pivotButton="0" quotePrefix="0" xfId="0"/>
    <xf numFmtId="49" fontId="0" fillId="0" borderId="0" pivotButton="0" quotePrefix="0" xfId="0"/>
    <xf numFmtId="4" fontId="0" fillId="3" borderId="0" pivotButton="0" quotePrefix="0" xfId="0"/>
    <xf numFmtId="0" fontId="0" fillId="3" borderId="14" pivotButton="0" quotePrefix="0" xfId="0"/>
    <xf numFmtId="0" fontId="0" fillId="3" borderId="15" pivotButton="0" quotePrefix="0" xfId="0"/>
    <xf numFmtId="49" fontId="0" fillId="36" borderId="16" pivotButton="0" quotePrefix="0" xfId="0"/>
    <xf numFmtId="49" fontId="0" fillId="3" borderId="15" pivotButton="0" quotePrefix="0" xfId="0"/>
    <xf numFmtId="49" fontId="0" fillId="0" borderId="15" pivotButton="0" quotePrefix="0" xfId="0"/>
    <xf numFmtId="4" fontId="0" fillId="3" borderId="15" pivotButton="0" quotePrefix="0" xfId="0"/>
    <xf numFmtId="49" fontId="0" fillId="0" borderId="17" pivotButton="0" quotePrefix="0" xfId="0"/>
    <xf numFmtId="49" fontId="0" fillId="3" borderId="18" pivotButton="0" quotePrefix="0" xfId="0"/>
    <xf numFmtId="49" fontId="9" fillId="37" borderId="19" pivotButton="0" quotePrefix="0" xfId="0"/>
    <xf numFmtId="167" fontId="9" fillId="37" borderId="20" pivotButton="0" quotePrefix="0" xfId="0"/>
    <xf numFmtId="0" fontId="9" fillId="37" borderId="20" pivotButton="0" quotePrefix="0" xfId="0"/>
    <xf numFmtId="0" fontId="10" fillId="37" borderId="20" pivotButton="0" quotePrefix="0" xfId="0"/>
    <xf numFmtId="0" fontId="0" fillId="3" borderId="18" pivotButton="0" quotePrefix="0" xfId="0"/>
    <xf numFmtId="49" fontId="0" fillId="36" borderId="20" pivotButton="0" quotePrefix="0" xfId="0"/>
    <xf numFmtId="165" fontId="0" fillId="0" borderId="15" pivotButton="0" quotePrefix="0" xfId="0"/>
    <xf numFmtId="171" fontId="0" fillId="3" borderId="15" pivotButton="0" quotePrefix="0" xfId="0"/>
    <xf numFmtId="171" fontId="0" fillId="0" borderId="15" pivotButton="0" quotePrefix="0" xfId="0"/>
    <xf numFmtId="167" fontId="0" fillId="0" borderId="15" pivotButton="0" quotePrefix="0" xfId="0"/>
    <xf numFmtId="167" fontId="0" fillId="3" borderId="15" pivotButton="0" quotePrefix="0" xfId="0"/>
    <xf numFmtId="167" fontId="0" fillId="0" borderId="17" pivotButton="0" quotePrefix="0" xfId="0"/>
    <xf numFmtId="0" fontId="0" fillId="3" borderId="24" pivotButton="0" quotePrefix="0" xfId="0"/>
    <xf numFmtId="49" fontId="12" fillId="3" borderId="18" pivotButton="0" quotePrefix="0" xfId="0"/>
    <xf numFmtId="49" fontId="13" fillId="3" borderId="15" pivotButton="0" quotePrefix="0" xfId="0"/>
    <xf numFmtId="49" fontId="11" fillId="3" borderId="24" pivotButton="0" quotePrefix="0" xfId="0"/>
    <xf numFmtId="49" fontId="0" fillId="3" borderId="27" applyAlignment="1" pivotButton="0" quotePrefix="0" xfId="0">
      <alignment horizontal="left"/>
    </xf>
    <xf numFmtId="49" fontId="0" fillId="3" borderId="14" pivotButton="0" quotePrefix="0" xfId="0"/>
    <xf numFmtId="49" fontId="0" fillId="3" borderId="14" applyAlignment="1" pivotButton="0" quotePrefix="0" xfId="0">
      <alignment horizontal="right"/>
    </xf>
    <xf numFmtId="49" fontId="13" fillId="3" borderId="15" applyAlignment="1" pivotButton="0" quotePrefix="0" xfId="0">
      <alignment horizontal="right"/>
    </xf>
    <xf numFmtId="0" fontId="0" fillId="3" borderId="28" pivotButton="0" quotePrefix="0" xfId="0"/>
    <xf numFmtId="165" fontId="11" fillId="19" borderId="20" pivotButton="0" quotePrefix="0" xfId="0"/>
    <xf numFmtId="172" fontId="11" fillId="11" borderId="20" pivotButton="0" quotePrefix="0" xfId="0"/>
    <xf numFmtId="171" fontId="11" fillId="11" borderId="20" pivotButton="0" quotePrefix="0" xfId="0"/>
    <xf numFmtId="167" fontId="14" fillId="3" borderId="15" pivotButton="0" quotePrefix="0" xfId="0"/>
    <xf numFmtId="49" fontId="0" fillId="3" borderId="14" applyAlignment="1" pivotButton="0" quotePrefix="0" xfId="0">
      <alignment horizontal="left"/>
    </xf>
    <xf numFmtId="171" fontId="11" fillId="19" borderId="20" pivotButton="0" quotePrefix="0" xfId="0"/>
    <xf numFmtId="49" fontId="0" fillId="3" borderId="27" pivotButton="0" quotePrefix="0" xfId="0"/>
    <xf numFmtId="165" fontId="0" fillId="24" borderId="15" pivotButton="0" quotePrefix="0" xfId="0"/>
    <xf numFmtId="49" fontId="0" fillId="3" borderId="14" applyAlignment="1" pivotButton="0" quotePrefix="0" xfId="0">
      <alignment horizontal="center"/>
    </xf>
    <xf numFmtId="49" fontId="15" fillId="3" borderId="14" pivotButton="0" quotePrefix="0" xfId="0"/>
    <xf numFmtId="49" fontId="15" fillId="3" borderId="14" applyAlignment="1" pivotButton="0" quotePrefix="0" xfId="0">
      <alignment horizontal="left"/>
    </xf>
    <xf numFmtId="167" fontId="11" fillId="19" borderId="20" pivotButton="0" quotePrefix="0" xfId="0"/>
    <xf numFmtId="167" fontId="16" fillId="28" borderId="20" pivotButton="0" quotePrefix="0" xfId="0"/>
    <xf numFmtId="171" fontId="16" fillId="28" borderId="20" pivotButton="0" quotePrefix="0" xfId="0"/>
    <xf numFmtId="0" fontId="16" fillId="28" borderId="20" pivotButton="0" quotePrefix="0" xfId="0"/>
    <xf numFmtId="167" fontId="14" fillId="3" borderId="18" pivotButton="0" quotePrefix="0" xfId="0"/>
    <xf numFmtId="49" fontId="11" fillId="3" borderId="15" pivotButton="0" quotePrefix="0" xfId="0"/>
    <xf numFmtId="171" fontId="11" fillId="3" borderId="14" pivotButton="0" quotePrefix="0" xfId="0"/>
    <xf numFmtId="171" fontId="11" fillId="3" borderId="15" pivotButton="0" quotePrefix="0" xfId="0"/>
    <xf numFmtId="171" fontId="13" fillId="3" borderId="15" pivotButton="0" quotePrefix="0" xfId="0"/>
    <xf numFmtId="49" fontId="11" fillId="3" borderId="28" applyAlignment="1" pivotButton="0" quotePrefix="0" xfId="0">
      <alignment horizontal="right"/>
    </xf>
    <xf numFmtId="0" fontId="11" fillId="11" borderId="20" applyAlignment="1" pivotButton="0" quotePrefix="0" xfId="0">
      <alignment horizontal="left"/>
    </xf>
    <xf numFmtId="0" fontId="13" fillId="3" borderId="15" pivotButton="0" quotePrefix="0" xfId="0"/>
    <xf numFmtId="167" fontId="11" fillId="19" borderId="20" applyAlignment="1" pivotButton="0" quotePrefix="0" xfId="0">
      <alignment horizontal="right"/>
    </xf>
    <xf numFmtId="167" fontId="11" fillId="39" borderId="20" pivotButton="0" quotePrefix="0" xfId="0"/>
    <xf numFmtId="1" fontId="11" fillId="39" borderId="20" pivotButton="0" quotePrefix="0" xfId="0"/>
    <xf numFmtId="0" fontId="0" fillId="0" borderId="15" pivotButton="0" quotePrefix="0" xfId="0"/>
    <xf numFmtId="169" fontId="0" fillId="0" borderId="15" pivotButton="0" quotePrefix="0" xfId="0"/>
    <xf numFmtId="0" fontId="0" fillId="0" borderId="29" pivotButton="0" quotePrefix="0" xfId="0"/>
    <xf numFmtId="49" fontId="11" fillId="40" borderId="20" pivotButton="0" quotePrefix="0" xfId="0"/>
    <xf numFmtId="49" fontId="0" fillId="0" borderId="30" pivotButton="0" quotePrefix="0" xfId="0"/>
    <xf numFmtId="0" fontId="0" fillId="3" borderId="30" pivotButton="0" quotePrefix="0" xfId="0"/>
    <xf numFmtId="4" fontId="0" fillId="3" borderId="30" pivotButton="0" quotePrefix="0" xfId="0"/>
    <xf numFmtId="49" fontId="0" fillId="0" borderId="31" pivotButton="0" quotePrefix="0" xfId="0"/>
    <xf numFmtId="2" fontId="11" fillId="3" borderId="24" pivotButton="0" quotePrefix="0" xfId="0"/>
    <xf numFmtId="49" fontId="9" fillId="41" borderId="19" pivotButton="0" quotePrefix="0" xfId="0"/>
    <xf numFmtId="0" fontId="9" fillId="41" borderId="20" pivotButton="0" quotePrefix="0" xfId="0"/>
    <xf numFmtId="0" fontId="10" fillId="41" borderId="20" pivotButton="0" quotePrefix="0" xfId="0"/>
    <xf numFmtId="49" fontId="0" fillId="9" borderId="19" pivotButton="0" quotePrefix="0" xfId="0"/>
    <xf numFmtId="0" fontId="0" fillId="9" borderId="20" pivotButton="0" quotePrefix="0" xfId="0"/>
    <xf numFmtId="167" fontId="11" fillId="9" borderId="20" pivotButton="0" quotePrefix="0" xfId="0"/>
    <xf numFmtId="171" fontId="11" fillId="9" borderId="20" pivotButton="0" quotePrefix="0" xfId="0"/>
    <xf numFmtId="0" fontId="11" fillId="9" borderId="20" pivotButton="0" quotePrefix="0" xfId="0"/>
    <xf numFmtId="49" fontId="17" fillId="3" borderId="15" pivotButton="0" quotePrefix="0" xfId="0"/>
    <xf numFmtId="49" fontId="0" fillId="3" borderId="15" applyAlignment="1" pivotButton="0" quotePrefix="0" xfId="0">
      <alignment horizontal="center"/>
    </xf>
    <xf numFmtId="171" fontId="11" fillId="42" borderId="20" pivotButton="0" quotePrefix="0" xfId="0"/>
    <xf numFmtId="167" fontId="11" fillId="42" borderId="20" pivotButton="0" quotePrefix="0" xfId="0"/>
    <xf numFmtId="0" fontId="11" fillId="19" borderId="20" pivotButton="0" quotePrefix="0" xfId="0"/>
    <xf numFmtId="0" fontId="11" fillId="42" borderId="20" pivotButton="0" quotePrefix="0" xfId="0"/>
    <xf numFmtId="49" fontId="0" fillId="3" borderId="27" applyAlignment="1" pivotButton="0" quotePrefix="0" xfId="0">
      <alignment horizontal="center"/>
    </xf>
    <xf numFmtId="172" fontId="11" fillId="42" borderId="20" pivotButton="0" quotePrefix="0" xfId="0"/>
    <xf numFmtId="0" fontId="0" fillId="3" borderId="32" pivotButton="0" quotePrefix="0" xfId="0"/>
    <xf numFmtId="167" fontId="0" fillId="3" borderId="24" applyAlignment="1" pivotButton="0" quotePrefix="0" xfId="0">
      <alignment horizontal="center"/>
    </xf>
    <xf numFmtId="2" fontId="11" fillId="19" borderId="20" pivotButton="0" quotePrefix="0" xfId="0"/>
    <xf numFmtId="167" fontId="11" fillId="3" borderId="24" pivotButton="0" quotePrefix="0" xfId="0"/>
    <xf numFmtId="167" fontId="11" fillId="3" borderId="15" pivotButton="0" quotePrefix="0" xfId="0"/>
    <xf numFmtId="49" fontId="0" fillId="7" borderId="19" pivotButton="0" quotePrefix="0" xfId="0"/>
    <xf numFmtId="0" fontId="0" fillId="3" borderId="18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171" fontId="0" fillId="3" borderId="15" applyAlignment="1" pivotButton="0" quotePrefix="0" xfId="0">
      <alignment horizontal="center"/>
    </xf>
    <xf numFmtId="49" fontId="11" fillId="3" borderId="15" applyAlignment="1" pivotButton="0" quotePrefix="0" xfId="0">
      <alignment horizontal="center"/>
    </xf>
    <xf numFmtId="49" fontId="15" fillId="7" borderId="19" pivotButton="0" quotePrefix="0" xfId="0"/>
    <xf numFmtId="0" fontId="15" fillId="3" borderId="18" pivotButton="0" quotePrefix="0" xfId="0"/>
    <xf numFmtId="0" fontId="15" fillId="3" borderId="15" pivotButton="0" quotePrefix="0" xfId="0"/>
    <xf numFmtId="49" fontId="13" fillId="3" borderId="27" pivotButton="0" quotePrefix="0" xfId="0"/>
    <xf numFmtId="167" fontId="13" fillId="3" borderId="14" pivotButton="0" quotePrefix="0" xfId="0"/>
    <xf numFmtId="171" fontId="11" fillId="42" borderId="33" pivotButton="0" quotePrefix="0" xfId="0"/>
    <xf numFmtId="171" fontId="11" fillId="42" borderId="34" pivotButton="0" quotePrefix="0" xfId="0"/>
    <xf numFmtId="0" fontId="0" fillId="3" borderId="35" pivotButton="0" quotePrefix="0" xfId="0"/>
    <xf numFmtId="49" fontId="0" fillId="3" borderId="19" pivotButton="0" quotePrefix="0" xfId="0"/>
    <xf numFmtId="165" fontId="11" fillId="43" borderId="20" pivotButton="0" quotePrefix="0" xfId="0"/>
    <xf numFmtId="0" fontId="11" fillId="3" borderId="20" pivotButton="0" quotePrefix="0" xfId="0"/>
    <xf numFmtId="0" fontId="0" fillId="3" borderId="36" pivotButton="0" quotePrefix="0" xfId="0"/>
    <xf numFmtId="0" fontId="0" fillId="3" borderId="27" pivotButton="0" quotePrefix="0" xfId="0"/>
    <xf numFmtId="49" fontId="9" fillId="44" borderId="19" pivotButton="0" quotePrefix="0" xfId="0"/>
    <xf numFmtId="0" fontId="0" fillId="44" borderId="20" pivotButton="0" quotePrefix="0" xfId="0"/>
    <xf numFmtId="167" fontId="0" fillId="3" borderId="24" pivotButton="0" quotePrefix="0" xfId="0"/>
    <xf numFmtId="49" fontId="11" fillId="3" borderId="28" pivotButton="0" quotePrefix="0" xfId="0"/>
    <xf numFmtId="1" fontId="11" fillId="42" borderId="20" applyAlignment="1" pivotButton="0" quotePrefix="0" xfId="0">
      <alignment horizontal="right"/>
    </xf>
    <xf numFmtId="49" fontId="11" fillId="3" borderId="32" applyAlignment="1" pivotButton="0" quotePrefix="0" xfId="0">
      <alignment horizontal="right"/>
    </xf>
    <xf numFmtId="0" fontId="0" fillId="42" borderId="20" pivotButton="0" quotePrefix="0" xfId="0"/>
    <xf numFmtId="167" fontId="13" fillId="3" borderId="18" pivotButton="0" quotePrefix="0" xfId="0"/>
    <xf numFmtId="165" fontId="13" fillId="3" borderId="15" pivotButton="0" quotePrefix="0" xfId="0"/>
    <xf numFmtId="2" fontId="11" fillId="19" borderId="20" applyAlignment="1" pivotButton="0" quotePrefix="0" xfId="0">
      <alignment horizontal="right"/>
    </xf>
    <xf numFmtId="167" fontId="15" fillId="3" borderId="15" pivotButton="0" quotePrefix="0" xfId="0"/>
    <xf numFmtId="0" fontId="10" fillId="3" borderId="15" pivotButton="0" quotePrefix="0" xfId="0"/>
    <xf numFmtId="0" fontId="11" fillId="3" borderId="15" pivotButton="0" quotePrefix="0" xfId="0"/>
    <xf numFmtId="2" fontId="11" fillId="3" borderId="24" applyAlignment="1" pivotButton="0" quotePrefix="0" xfId="0">
      <alignment horizontal="right"/>
    </xf>
    <xf numFmtId="173" fontId="13" fillId="3" borderId="15" pivotButton="0" quotePrefix="0" xfId="0"/>
    <xf numFmtId="167" fontId="13" fillId="3" borderId="15" pivotButton="0" quotePrefix="0" xfId="0"/>
    <xf numFmtId="49" fontId="18" fillId="3" borderId="15" pivotButton="0" quotePrefix="0" xfId="0"/>
    <xf numFmtId="167" fontId="11" fillId="3" borderId="15" applyAlignment="1" pivotButton="0" quotePrefix="0" xfId="0">
      <alignment horizontal="right"/>
    </xf>
    <xf numFmtId="4" fontId="0" fillId="0" borderId="0" pivotButton="0" quotePrefix="0" xfId="0"/>
    <xf numFmtId="0" fontId="0" fillId="0" borderId="37" pivotButton="1" quotePrefix="0" xfId="0"/>
    <xf numFmtId="0" fontId="0" fillId="0" borderId="38" pivotButton="1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6" pivotButton="0" quotePrefix="0" xfId="0"/>
    <xf numFmtId="165" fontId="0" fillId="45" borderId="0" applyAlignment="1" pivotButton="0" quotePrefix="0" xfId="0">
      <alignment horizontal="left"/>
    </xf>
    <xf numFmtId="164" fontId="0" fillId="45" borderId="0" applyAlignment="1" pivotButton="0" quotePrefix="0" xfId="0">
      <alignment horizontal="left"/>
    </xf>
    <xf numFmtId="0" fontId="9" fillId="45" borderId="0" pivotButton="0" quotePrefix="0" xfId="0"/>
    <xf numFmtId="173" fontId="0" fillId="0" borderId="0" pivotButton="0" quotePrefix="0" xfId="0"/>
    <xf numFmtId="2" fontId="0" fillId="0" borderId="0" pivotButton="0" quotePrefix="0" xfId="0"/>
    <xf numFmtId="0" fontId="12" fillId="0" borderId="0" pivotButton="0" quotePrefix="0" xfId="0"/>
    <xf numFmtId="0" fontId="9" fillId="46" borderId="0" pivotButton="0" quotePrefix="0" xfId="0"/>
    <xf numFmtId="0" fontId="11" fillId="0" borderId="0" pivotButton="0" quotePrefix="0" xfId="0"/>
    <xf numFmtId="1" fontId="9" fillId="46" borderId="0" pivotButton="0" quotePrefix="0" xfId="0"/>
    <xf numFmtId="0" fontId="0" fillId="47" borderId="0" pivotButton="0" quotePrefix="0" xfId="0"/>
    <xf numFmtId="0" fontId="11" fillId="47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1" fillId="47" borderId="0" pivotButton="0" quotePrefix="0" xfId="0"/>
    <xf numFmtId="0" fontId="0" fillId="48" borderId="0" pivotButton="0" quotePrefix="0" xfId="0"/>
    <xf numFmtId="0" fontId="21" fillId="48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20" fillId="0" borderId="0" pivotButton="0" quotePrefix="0" xfId="0"/>
    <xf numFmtId="0" fontId="11" fillId="48" borderId="0" pivotButton="0" quotePrefix="0" xfId="0"/>
    <xf numFmtId="0" fontId="0" fillId="49" borderId="0" pivotButton="0" quotePrefix="0" xfId="0"/>
    <xf numFmtId="0" fontId="11" fillId="49" borderId="0" pivotButton="0" quotePrefix="0" xfId="0"/>
    <xf numFmtId="0" fontId="2" fillId="30" borderId="26" pivotButton="0" quotePrefix="0" xfId="1"/>
    <xf numFmtId="0" fontId="2" fillId="21" borderId="26" applyAlignment="1" pivotButton="0" quotePrefix="0" xfId="1">
      <alignment horizontal="left"/>
    </xf>
    <xf numFmtId="0" fontId="2" fillId="27" borderId="26" applyAlignment="1" pivotButton="0" quotePrefix="0" xfId="1">
      <alignment horizontal="left"/>
    </xf>
    <xf numFmtId="0" fontId="2" fillId="18" borderId="26" applyAlignment="1" pivotButton="0" quotePrefix="0" xfId="1">
      <alignment horizontal="left"/>
    </xf>
    <xf numFmtId="0" fontId="2" fillId="50" borderId="26" applyAlignment="1" pivotButton="0" quotePrefix="0" xfId="1">
      <alignment horizontal="left"/>
    </xf>
    <xf numFmtId="0" fontId="2" fillId="5" borderId="26" applyAlignment="1" pivotButton="0" quotePrefix="0" xfId="1">
      <alignment horizontal="left"/>
    </xf>
    <xf numFmtId="0" fontId="19" fillId="0" borderId="26" pivotButton="0" quotePrefix="0" xfId="1"/>
    <xf numFmtId="2" fontId="2" fillId="27" borderId="26" pivotButton="0" quotePrefix="0" xfId="1"/>
    <xf numFmtId="2" fontId="2" fillId="24" borderId="26" pivotButton="0" quotePrefix="0" xfId="1"/>
    <xf numFmtId="2" fontId="2" fillId="21" borderId="26" applyAlignment="1" pivotButton="0" quotePrefix="0" xfId="1">
      <alignment horizontal="left"/>
    </xf>
    <xf numFmtId="2" fontId="2" fillId="18" borderId="26" applyAlignment="1" pivotButton="0" quotePrefix="0" xfId="1">
      <alignment horizontal="left"/>
    </xf>
    <xf numFmtId="2" fontId="2" fillId="50" borderId="26" applyAlignment="1" pivotButton="0" quotePrefix="0" xfId="1">
      <alignment horizontal="left"/>
    </xf>
    <xf numFmtId="2" fontId="2" fillId="5" borderId="26" applyAlignment="1" pivotButton="0" quotePrefix="0" xfId="1">
      <alignment horizontal="left"/>
    </xf>
    <xf numFmtId="0" fontId="2" fillId="27" borderId="26" pivotButton="0" quotePrefix="0" xfId="1"/>
    <xf numFmtId="0" fontId="2" fillId="24" borderId="26" pivotButton="0" quotePrefix="0" xfId="1"/>
    <xf numFmtId="165" fontId="2" fillId="21" borderId="26" applyAlignment="1" pivotButton="0" quotePrefix="0" xfId="1">
      <alignment horizontal="left"/>
    </xf>
    <xf numFmtId="165" fontId="2" fillId="18" borderId="26" applyAlignment="1" pivotButton="0" quotePrefix="0" xfId="1">
      <alignment horizontal="left"/>
    </xf>
    <xf numFmtId="165" fontId="2" fillId="50" borderId="26" applyAlignment="1" pivotButton="0" quotePrefix="0" xfId="1">
      <alignment horizontal="left"/>
    </xf>
    <xf numFmtId="165" fontId="2" fillId="5" borderId="26" applyAlignment="1" pivotButton="0" quotePrefix="0" xfId="1">
      <alignment horizontal="left"/>
    </xf>
    <xf numFmtId="2" fontId="2" fillId="18" borderId="26" pivotButton="0" quotePrefix="0" xfId="1"/>
    <xf numFmtId="0" fontId="2" fillId="18" borderId="26" pivotButton="0" quotePrefix="0" xfId="1"/>
    <xf numFmtId="0" fontId="2" fillId="2" borderId="26" pivotButton="0" quotePrefix="0" xfId="1"/>
    <xf numFmtId="165" fontId="2" fillId="25" borderId="26" pivotButton="0" quotePrefix="0" xfId="1"/>
    <xf numFmtId="165" fontId="2" fillId="20" borderId="26" pivotButton="0" quotePrefix="0" xfId="1"/>
    <xf numFmtId="0" fontId="2" fillId="20" borderId="26" pivotButton="0" quotePrefix="0" xfId="1"/>
    <xf numFmtId="0" fontId="2" fillId="0" borderId="26" pivotButton="0" quotePrefix="0" xfId="1"/>
    <xf numFmtId="0" fontId="2" fillId="21" borderId="26" pivotButton="0" quotePrefix="0" xfId="1"/>
    <xf numFmtId="0" fontId="2" fillId="50" borderId="26" pivotButton="0" quotePrefix="0" xfId="1"/>
    <xf numFmtId="0" fontId="2" fillId="5" borderId="26" pivotButton="0" quotePrefix="0" xfId="1"/>
    <xf numFmtId="4" fontId="2" fillId="21" borderId="26" pivotButton="0" quotePrefix="0" xfId="1"/>
    <xf numFmtId="0" fontId="1" fillId="2" borderId="26" pivotButton="0" quotePrefix="0" xfId="1"/>
    <xf numFmtId="0" fontId="2" fillId="3" borderId="26" pivotButton="0" quotePrefix="0" xfId="1"/>
    <xf numFmtId="164" fontId="2" fillId="3" borderId="26" pivotButton="0" quotePrefix="0" xfId="1"/>
    <xf numFmtId="164" fontId="2" fillId="2" borderId="26" pivotButton="0" quotePrefix="0" xfId="1"/>
    <xf numFmtId="164" fontId="2" fillId="27" borderId="26" applyAlignment="1" pivotButton="0" quotePrefix="0" xfId="1">
      <alignment horizontal="left"/>
    </xf>
    <xf numFmtId="0" fontId="2" fillId="12" borderId="26" pivotButton="0" quotePrefix="0" xfId="1"/>
    <xf numFmtId="164" fontId="2" fillId="12" borderId="26" pivotButton="0" quotePrefix="0" xfId="1"/>
    <xf numFmtId="164" fontId="8" fillId="27" borderId="26" applyAlignment="1" pivotButton="0" quotePrefix="0" xfId="1">
      <alignment horizontal="left"/>
    </xf>
    <xf numFmtId="165" fontId="2" fillId="12" borderId="26" pivotButton="0" quotePrefix="0" xfId="1"/>
    <xf numFmtId="165" fontId="2" fillId="2" borderId="26" pivotButton="0" quotePrefix="0" xfId="1"/>
    <xf numFmtId="165" fontId="2" fillId="27" borderId="26" applyAlignment="1" pivotButton="0" quotePrefix="0" xfId="1">
      <alignment horizontal="left"/>
    </xf>
    <xf numFmtId="0" fontId="2" fillId="13" borderId="26" pivotButton="0" quotePrefix="0" xfId="1"/>
    <xf numFmtId="164" fontId="2" fillId="13" borderId="26" pivotButton="0" quotePrefix="0" xfId="1"/>
    <xf numFmtId="165" fontId="2" fillId="13" borderId="26" pivotButton="0" quotePrefix="0" xfId="1"/>
    <xf numFmtId="0" fontId="2" fillId="14" borderId="26" pivotButton="0" quotePrefix="0" xfId="1"/>
    <xf numFmtId="164" fontId="2" fillId="14" borderId="26" pivotButton="0" quotePrefix="0" xfId="1"/>
    <xf numFmtId="165" fontId="2" fillId="14" borderId="26" pivotButton="0" quotePrefix="0" xfId="1"/>
    <xf numFmtId="165" fontId="2" fillId="3" borderId="26" pivotButton="0" quotePrefix="0" xfId="1"/>
    <xf numFmtId="165" fontId="2" fillId="3" borderId="26" applyAlignment="1" pivotButton="0" quotePrefix="0" xfId="1">
      <alignment horizontal="left"/>
    </xf>
    <xf numFmtId="0" fontId="22" fillId="0" borderId="0" pivotButton="0" quotePrefix="0" xfId="0"/>
    <xf numFmtId="0" fontId="23" fillId="0" borderId="0" pivotButton="0" quotePrefix="0" xfId="0"/>
    <xf numFmtId="0" fontId="24" fillId="51" borderId="0" pivotButton="0" quotePrefix="0" xfId="0"/>
    <xf numFmtId="0" fontId="0" fillId="51" borderId="0" pivotButton="0" quotePrefix="0" xfId="0"/>
    <xf numFmtId="1" fontId="0" fillId="0" borderId="0" pivotButton="0" quotePrefix="0" xfId="0"/>
    <xf numFmtId="0" fontId="11" fillId="52" borderId="0" pivotButton="0" quotePrefix="0" xfId="0"/>
    <xf numFmtId="2" fontId="11" fillId="0" borderId="0" pivotButton="0" quotePrefix="0" xfId="0"/>
    <xf numFmtId="2" fontId="11" fillId="52" borderId="0" pivotButton="0" quotePrefix="0" xfId="0"/>
    <xf numFmtId="1" fontId="11" fillId="52" borderId="0" pivotButton="0" quotePrefix="0" xfId="0"/>
    <xf numFmtId="0" fontId="25" fillId="0" borderId="0" pivotButton="0" quotePrefix="0" xfId="0"/>
    <xf numFmtId="0" fontId="26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0" fontId="27" fillId="0" borderId="0" pivotButton="0" quotePrefix="0" xfId="0"/>
    <xf numFmtId="165" fontId="20" fillId="52" borderId="0" pivotButton="0" quotePrefix="0" xfId="0"/>
    <xf numFmtId="0" fontId="0" fillId="52" borderId="0" pivotButton="0" quotePrefix="0" xfId="0"/>
    <xf numFmtId="165" fontId="0" fillId="52" borderId="0" pivotButton="0" quotePrefix="0" xfId="0"/>
    <xf numFmtId="174" fontId="0" fillId="52" borderId="0" pivotButton="0" quotePrefix="0" xfId="0"/>
    <xf numFmtId="175" fontId="0" fillId="52" borderId="0" pivotButton="0" quotePrefix="0" xfId="0"/>
    <xf numFmtId="0" fontId="28" fillId="52" borderId="0" pivotButton="0" quotePrefix="0" xfId="0"/>
    <xf numFmtId="0" fontId="29" fillId="0" borderId="0" pivotButton="0" quotePrefix="0" xfId="0"/>
    <xf numFmtId="167" fontId="20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1" fillId="53" borderId="0" pivotButton="0" quotePrefix="0" xfId="0"/>
    <xf numFmtId="0" fontId="34" fillId="0" borderId="0" pivotButton="0" quotePrefix="0" xfId="0"/>
    <xf numFmtId="0" fontId="36" fillId="0" borderId="0" pivotButton="0" quotePrefix="0" xfId="0"/>
    <xf numFmtId="0" fontId="20" fillId="53" borderId="0" pivotButton="0" quotePrefix="0" xfId="0"/>
    <xf numFmtId="164" fontId="20" fillId="53" borderId="0" pivotButton="0" quotePrefix="0" xfId="0"/>
    <xf numFmtId="0" fontId="11" fillId="0" borderId="49" pivotButton="0" quotePrefix="0" xfId="0"/>
    <xf numFmtId="0" fontId="0" fillId="0" borderId="49" pivotButton="0" quotePrefix="0" xfId="0"/>
    <xf numFmtId="0" fontId="0" fillId="0" borderId="50" pivotButton="0" quotePrefix="0" xfId="0"/>
    <xf numFmtId="2" fontId="0" fillId="0" borderId="50" pivotButton="0" quotePrefix="0" xfId="0"/>
    <xf numFmtId="164" fontId="20" fillId="53" borderId="50" pivotButton="0" quotePrefix="0" xfId="0"/>
    <xf numFmtId="176" fontId="0" fillId="0" borderId="50" pivotButton="0" quotePrefix="0" xfId="0"/>
    <xf numFmtId="0" fontId="0" fillId="0" borderId="51" pivotButton="0" quotePrefix="0" xfId="0"/>
    <xf numFmtId="2" fontId="0" fillId="0" borderId="51" pivotButton="0" quotePrefix="0" xfId="0"/>
    <xf numFmtId="164" fontId="20" fillId="53" borderId="51" pivotButton="0" quotePrefix="0" xfId="0"/>
    <xf numFmtId="176" fontId="0" fillId="0" borderId="51" pivotButton="0" quotePrefix="0" xfId="0"/>
    <xf numFmtId="0" fontId="9" fillId="54" borderId="53" pivotButton="0" quotePrefix="0" xfId="0"/>
    <xf numFmtId="0" fontId="9" fillId="54" borderId="54" pivotButton="0" quotePrefix="0" xfId="0"/>
    <xf numFmtId="0" fontId="11" fillId="0" borderId="55" pivotButton="0" quotePrefix="0" xfId="0"/>
    <xf numFmtId="0" fontId="11" fillId="0" borderId="56" pivotButton="0" quotePrefix="0" xfId="0"/>
    <xf numFmtId="0" fontId="9" fillId="54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1" fillId="53" borderId="49" pivotButton="0" quotePrefix="0" xfId="0"/>
    <xf numFmtId="164" fontId="21" fillId="53" borderId="49" pivotButton="0" quotePrefix="0" xfId="0"/>
    <xf numFmtId="1" fontId="21" fillId="53" borderId="49" pivotButton="0" quotePrefix="0" xfId="0"/>
    <xf numFmtId="0" fontId="33" fillId="0" borderId="49" pivotButton="0" quotePrefix="0" xfId="0"/>
    <xf numFmtId="2" fontId="11" fillId="0" borderId="49" pivotButton="0" quotePrefix="0" xfId="0"/>
    <xf numFmtId="0" fontId="35" fillId="0" borderId="49" pivotButton="0" quotePrefix="0" xfId="0"/>
    <xf numFmtId="176" fontId="35" fillId="0" borderId="49" pivotButton="0" quotePrefix="0" xfId="0"/>
    <xf numFmtId="177" fontId="11" fillId="0" borderId="49" pivotButton="0" quotePrefix="0" xfId="0"/>
    <xf numFmtId="0" fontId="11" fillId="0" borderId="52" pivotButton="0" quotePrefix="0" xfId="0"/>
    <xf numFmtId="0" fontId="33" fillId="0" borderId="60" pivotButton="0" quotePrefix="0" xfId="0"/>
    <xf numFmtId="0" fontId="0" fillId="0" borderId="60" pivotButton="0" quotePrefix="0" xfId="0"/>
    <xf numFmtId="0" fontId="11" fillId="55" borderId="0" pivotButton="0" quotePrefix="0" xfId="0"/>
    <xf numFmtId="0" fontId="0" fillId="55" borderId="0" pivotButton="0" quotePrefix="0" xfId="0"/>
    <xf numFmtId="165" fontId="20" fillId="53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25" fillId="56" borderId="0" pivotButton="0" quotePrefix="0" xfId="0"/>
    <xf numFmtId="0" fontId="25" fillId="49" borderId="0" pivotButton="0" quotePrefix="0" xfId="0"/>
    <xf numFmtId="0" fontId="25" fillId="53" borderId="0" pivotButton="0" quotePrefix="0" xfId="0"/>
    <xf numFmtId="0" fontId="25" fillId="48" borderId="0" pivotButton="0" quotePrefix="0" xfId="0"/>
    <xf numFmtId="0" fontId="25" fillId="57" borderId="0" pivotButton="0" quotePrefix="0" xfId="0"/>
    <xf numFmtId="0" fontId="11" fillId="58" borderId="0" pivotButton="0" quotePrefix="0" xfId="0"/>
    <xf numFmtId="0" fontId="0" fillId="58" borderId="0" pivotButton="0" quotePrefix="0" xfId="0"/>
    <xf numFmtId="0" fontId="0" fillId="56" borderId="0" pivotButton="0" quotePrefix="0" xfId="0"/>
    <xf numFmtId="0" fontId="11" fillId="56" borderId="0" pivotButton="0" quotePrefix="0" xfId="0"/>
    <xf numFmtId="0" fontId="0" fillId="53" borderId="0" pivotButton="0" quotePrefix="0" xfId="0"/>
    <xf numFmtId="0" fontId="11" fillId="53" borderId="0" pivotButton="0" quotePrefix="0" xfId="0"/>
    <xf numFmtId="0" fontId="0" fillId="57" borderId="0" pivotButton="0" quotePrefix="0" xfId="0"/>
    <xf numFmtId="0" fontId="0" fillId="59" borderId="0" applyAlignment="1" pivotButton="0" quotePrefix="0" xfId="0">
      <alignment horizontal="center"/>
    </xf>
    <xf numFmtId="165" fontId="20" fillId="60" borderId="0" pivotButton="0" quotePrefix="0" xfId="0"/>
    <xf numFmtId="165" fontId="0" fillId="48" borderId="0" pivotButton="0" quotePrefix="0" xfId="0"/>
    <xf numFmtId="0" fontId="25" fillId="61" borderId="0" pivotButton="0" quotePrefix="0" xfId="0"/>
    <xf numFmtId="0" fontId="25" fillId="62" borderId="0" pivotButton="0" quotePrefix="0" xfId="0"/>
    <xf numFmtId="0" fontId="25" fillId="63" borderId="0" pivotButton="0" quotePrefix="0" xfId="0"/>
    <xf numFmtId="0" fontId="25" fillId="64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4" fillId="0" borderId="0" pivotButton="0" quotePrefix="0" xfId="0"/>
    <xf numFmtId="0" fontId="11" fillId="59" borderId="0" applyAlignment="1" pivotButton="0" quotePrefix="0" xfId="0">
      <alignment horizontal="center"/>
    </xf>
    <xf numFmtId="165" fontId="0" fillId="56" borderId="0" pivotButton="0" quotePrefix="0" xfId="0"/>
    <xf numFmtId="164" fontId="0" fillId="56" borderId="0" pivotButton="0" quotePrefix="0" xfId="0"/>
    <xf numFmtId="164" fontId="0" fillId="49" borderId="0" pivotButton="0" quotePrefix="0" xfId="0"/>
    <xf numFmtId="165" fontId="0" fillId="49" borderId="0" pivotButton="0" quotePrefix="0" xfId="0"/>
    <xf numFmtId="0" fontId="0" fillId="0" borderId="0" applyAlignment="1" pivotButton="0" quotePrefix="0" xfId="0">
      <alignment horizontal="center"/>
    </xf>
    <xf numFmtId="0" fontId="32" fillId="53" borderId="0" applyAlignment="1" pivotButton="0" quotePrefix="0" xfId="0">
      <alignment horizontal="center"/>
    </xf>
    <xf numFmtId="0" fontId="39" fillId="53" borderId="0" applyAlignment="1" pivotButton="0" quotePrefix="0" xfId="0">
      <alignment horizontal="center"/>
    </xf>
    <xf numFmtId="0" fontId="41" fillId="53" borderId="0" applyAlignment="1" pivotButton="0" quotePrefix="0" xfId="0">
      <alignment horizontal="center"/>
    </xf>
    <xf numFmtId="0" fontId="43" fillId="53" borderId="0" applyAlignment="1" pivotButton="0" quotePrefix="0" xfId="0">
      <alignment horizontal="center"/>
    </xf>
    <xf numFmtId="165" fontId="0" fillId="65" borderId="0" pivotButton="0" quotePrefix="0" xfId="0"/>
    <xf numFmtId="0" fontId="0" fillId="62" borderId="0" pivotButton="0" quotePrefix="0" xfId="0"/>
    <xf numFmtId="0" fontId="36" fillId="45" borderId="0" pivotButton="0" quotePrefix="0" xfId="0"/>
    <xf numFmtId="0" fontId="11" fillId="0" borderId="0" applyAlignment="1" pivotButton="0" quotePrefix="0" xfId="0">
      <alignment horizontal="center"/>
    </xf>
    <xf numFmtId="0" fontId="11" fillId="66" borderId="0" applyAlignment="1" pivotButton="0" quotePrefix="0" xfId="0">
      <alignment horizontal="center"/>
    </xf>
    <xf numFmtId="0" fontId="0" fillId="66" borderId="0" applyAlignment="1" pivotButton="0" quotePrefix="0" xfId="0">
      <alignment horizontal="center"/>
    </xf>
    <xf numFmtId="164" fontId="20" fillId="0" borderId="0" pivotButton="0" quotePrefix="0" xfId="0"/>
    <xf numFmtId="0" fontId="33" fillId="66" borderId="0" pivotButton="0" quotePrefix="0" xfId="0"/>
    <xf numFmtId="0" fontId="45" fillId="66" borderId="0" pivotButton="0" quotePrefix="0" xfId="0"/>
    <xf numFmtId="0" fontId="25" fillId="67" borderId="0" pivotButton="0" quotePrefix="0" xfId="0"/>
    <xf numFmtId="0" fontId="46" fillId="0" borderId="0" pivotButton="0" quotePrefix="0" xfId="0"/>
    <xf numFmtId="165" fontId="0" fillId="67" borderId="0" pivotButton="0" quotePrefix="0" xfId="0"/>
    <xf numFmtId="0" fontId="0" fillId="67" borderId="0" pivotButton="0" quotePrefix="0" xfId="0"/>
    <xf numFmtId="0" fontId="47" fillId="67" borderId="0" pivotButton="0" quotePrefix="0" xfId="0"/>
    <xf numFmtId="165" fontId="0" fillId="61" borderId="0" pivotButton="0" quotePrefix="0" xfId="0"/>
    <xf numFmtId="0" fontId="0" fillId="61" borderId="0" pivotButton="0" quotePrefix="0" xfId="0"/>
    <xf numFmtId="0" fontId="47" fillId="61" borderId="0" pivotButton="0" quotePrefix="0" xfId="0"/>
    <xf numFmtId="167" fontId="0" fillId="0" borderId="0" pivotButton="0" quotePrefix="0" xfId="0"/>
    <xf numFmtId="167" fontId="0" fillId="57" borderId="0" pivotButton="0" quotePrefix="0" xfId="0"/>
    <xf numFmtId="165" fontId="0" fillId="57" borderId="0" pivotButton="0" quotePrefix="0" xfId="0"/>
    <xf numFmtId="178" fontId="0" fillId="57" borderId="0" pivotButton="0" quotePrefix="0" xfId="0"/>
    <xf numFmtId="0" fontId="11" fillId="68" borderId="0" pivotButton="0" quotePrefix="0" xfId="0"/>
    <xf numFmtId="0" fontId="11" fillId="69" borderId="0" pivotButton="0" quotePrefix="0" xfId="0"/>
    <xf numFmtId="0" fontId="46" fillId="59" borderId="0" applyAlignment="1" pivotButton="0" quotePrefix="0" xfId="0">
      <alignment horizontal="center"/>
    </xf>
    <xf numFmtId="0" fontId="47" fillId="0" borderId="0" pivotButton="0" quotePrefix="0" xfId="0"/>
    <xf numFmtId="0" fontId="0" fillId="68" borderId="0" pivotButton="0" quotePrefix="0" xfId="0"/>
    <xf numFmtId="165" fontId="0" fillId="68" borderId="0" pivotButton="0" quotePrefix="0" xfId="0"/>
    <xf numFmtId="0" fontId="0" fillId="69" borderId="0" pivotButton="0" quotePrefix="0" xfId="0"/>
    <xf numFmtId="165" fontId="0" fillId="69" borderId="0" pivotButton="0" quotePrefix="0" xfId="0"/>
    <xf numFmtId="0" fontId="35" fillId="67" borderId="0" pivotButton="0" quotePrefix="0" xfId="0"/>
    <xf numFmtId="0" fontId="48" fillId="0" borderId="0" pivotButton="0" quotePrefix="0" xfId="0"/>
    <xf numFmtId="3" fontId="0" fillId="0" borderId="0" pivotButton="0" quotePrefix="0" xfId="0"/>
    <xf numFmtId="0" fontId="35" fillId="57" borderId="0" pivotButton="0" quotePrefix="0" xfId="0"/>
    <xf numFmtId="0" fontId="49" fillId="49" borderId="0" pivotButton="0" quotePrefix="0" xfId="0"/>
    <xf numFmtId="2" fontId="0" fillId="52" borderId="0" pivotButton="0" quotePrefix="0" xfId="0"/>
    <xf numFmtId="164" fontId="0" fillId="52" borderId="0" pivotButton="0" quotePrefix="0" xfId="0"/>
    <xf numFmtId="0" fontId="35" fillId="62" borderId="0" pivotButton="0" quotePrefix="0" xfId="0"/>
    <xf numFmtId="0" fontId="35" fillId="64" borderId="0" pivotButton="0" quotePrefix="0" xfId="0"/>
    <xf numFmtId="0" fontId="50" fillId="0" borderId="0" pivotButton="0" quotePrefix="0" xfId="0"/>
    <xf numFmtId="0" fontId="11" fillId="49" borderId="0" applyAlignment="1" pivotButton="0" quotePrefix="0" xfId="0">
      <alignment wrapText="1"/>
    </xf>
    <xf numFmtId="0" fontId="49" fillId="49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1" fillId="48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1" fontId="0" fillId="52" borderId="0" pivotButton="0" quotePrefix="0" xfId="0"/>
    <xf numFmtId="0" fontId="11" fillId="0" borderId="0" applyAlignment="1" pivotButton="0" quotePrefix="0" xfId="0">
      <alignment wrapText="1"/>
    </xf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20" fillId="53" borderId="0" pivotButton="0" quotePrefix="0" xfId="0"/>
    <xf numFmtId="0" fontId="11" fillId="67" borderId="0" applyAlignment="1" pivotButton="0" quotePrefix="0" xfId="0">
      <alignment horizontal="center"/>
    </xf>
    <xf numFmtId="0" fontId="11" fillId="53" borderId="0" applyAlignment="1" pivotButton="0" quotePrefix="0" xfId="0">
      <alignment horizontal="center"/>
    </xf>
    <xf numFmtId="0" fontId="11" fillId="70" borderId="0" pivotButton="0" quotePrefix="0" xfId="0"/>
    <xf numFmtId="0" fontId="11" fillId="70" borderId="0" applyAlignment="1" pivotButton="0" quotePrefix="0" xfId="0">
      <alignment horizontal="center"/>
    </xf>
    <xf numFmtId="0" fontId="51" fillId="48" borderId="0" pivotButton="0" quotePrefix="0" xfId="0"/>
    <xf numFmtId="0" fontId="51" fillId="53" borderId="0" pivotButton="0" quotePrefix="0" xfId="0"/>
    <xf numFmtId="0" fontId="51" fillId="70" borderId="0" pivotButton="0" quotePrefix="0" xfId="0"/>
    <xf numFmtId="165" fontId="0" fillId="53" borderId="0" pivotButton="0" quotePrefix="0" xfId="0"/>
    <xf numFmtId="0" fontId="0" fillId="70" borderId="0" pivotButton="0" quotePrefix="0" xfId="0"/>
    <xf numFmtId="0" fontId="37" fillId="0" borderId="0" pivotButton="0" quotePrefix="1" xfId="0"/>
    <xf numFmtId="0" fontId="38" fillId="0" borderId="0" pivotButton="0" quotePrefix="1" xfId="0"/>
    <xf numFmtId="0" fontId="52" fillId="0" borderId="0" pivotButton="0" quotePrefix="0" xfId="0"/>
    <xf numFmtId="0" fontId="35" fillId="48" borderId="0" pivotButton="0" quotePrefix="0" xfId="0"/>
    <xf numFmtId="0" fontId="53" fillId="0" borderId="0" pivotButton="0" quotePrefix="0" xfId="0"/>
    <xf numFmtId="168" fontId="0" fillId="0" borderId="0" pivotButton="0" quotePrefix="0" xfId="0"/>
    <xf numFmtId="16" fontId="0" fillId="0" borderId="0" pivotButton="0" quotePrefix="0" xfId="0"/>
    <xf numFmtId="16" fontId="20" fillId="53" borderId="0" pivotButton="0" quotePrefix="0" xfId="0"/>
    <xf numFmtId="168" fontId="11" fillId="0" borderId="0" pivotButton="0" quotePrefix="0" xfId="0"/>
    <xf numFmtId="0" fontId="11" fillId="57" borderId="0" pivotButton="0" quotePrefix="0" xfId="0"/>
    <xf numFmtId="0" fontId="35" fillId="53" borderId="0" pivotButton="0" quotePrefix="0" xfId="0"/>
    <xf numFmtId="0" fontId="11" fillId="65" borderId="0" pivotButton="0" quotePrefix="0" xfId="0"/>
    <xf numFmtId="178" fontId="20" fillId="53" borderId="0" pivotButton="0" quotePrefix="0" xfId="0"/>
    <xf numFmtId="179" fontId="0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167" fontId="0" fillId="52" borderId="0" pivotButton="0" quotePrefix="0" xfId="0"/>
    <xf numFmtId="179" fontId="0" fillId="52" borderId="0" pivotButton="0" quotePrefix="0" xfId="0"/>
    <xf numFmtId="164" fontId="11" fillId="0" borderId="0" pivotButton="0" quotePrefix="0" xfId="0"/>
    <xf numFmtId="0" fontId="56" fillId="0" borderId="0" pivotButton="0" quotePrefix="0" xfId="0"/>
    <xf numFmtId="0" fontId="35" fillId="61" borderId="0" pivotButton="0" quotePrefix="0" xfId="0"/>
    <xf numFmtId="180" fontId="0" fillId="0" borderId="0" pivotButton="0" quotePrefix="0" xfId="0"/>
    <xf numFmtId="181" fontId="0" fillId="0" borderId="0" pivotButton="0" quotePrefix="0" xfId="0"/>
    <xf numFmtId="0" fontId="59" fillId="0" borderId="0" pivotButton="0" quotePrefix="0" xfId="0"/>
    <xf numFmtId="0" fontId="11" fillId="61" borderId="0" pivotButton="0" quotePrefix="0" xfId="0"/>
    <xf numFmtId="0" fontId="21" fillId="49" borderId="0" pivotButton="0" quotePrefix="0" xfId="0"/>
    <xf numFmtId="2" fontId="20" fillId="53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35" fillId="49" borderId="0" pivotButton="0" quotePrefix="0" xfId="0"/>
    <xf numFmtId="0" fontId="62" fillId="0" borderId="0" pivotButton="0" quotePrefix="0" xfId="0"/>
    <xf numFmtId="0" fontId="11" fillId="49" borderId="0" pivotButton="0" quotePrefix="1" xfId="0"/>
    <xf numFmtId="0" fontId="11" fillId="71" borderId="0" pivotButton="0" quotePrefix="0" xfId="0"/>
    <xf numFmtId="0" fontId="11" fillId="72" borderId="0" pivotButton="0" quotePrefix="0" xfId="0"/>
    <xf numFmtId="0" fontId="11" fillId="73" borderId="0" pivotButton="0" quotePrefix="0" xfId="0"/>
    <xf numFmtId="2" fontId="0" fillId="62" borderId="0" pivotButton="0" quotePrefix="0" xfId="0"/>
    <xf numFmtId="2" fontId="0" fillId="49" borderId="0" pivotButton="0" quotePrefix="0" xfId="0"/>
    <xf numFmtId="165" fontId="11" fillId="0" borderId="0" pivotButton="0" quotePrefix="0" xfId="0"/>
    <xf numFmtId="2" fontId="11" fillId="62" borderId="0" pivotButton="0" quotePrefix="0" xfId="0"/>
    <xf numFmtId="2" fontId="11" fillId="49" borderId="0" pivotButton="0" quotePrefix="0" xfId="0"/>
    <xf numFmtId="2" fontId="0" fillId="56" borderId="0" pivotButton="0" quotePrefix="0" xfId="0"/>
    <xf numFmtId="164" fontId="20" fillId="49" borderId="0" pivotButton="0" quotePrefix="0" xfId="0"/>
    <xf numFmtId="2" fontId="0" fillId="53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46" borderId="0" pivotButton="0" quotePrefix="0" xfId="0"/>
    <xf numFmtId="0" fontId="0" fillId="46" borderId="0" pivotButton="0" quotePrefix="0" xfId="0"/>
    <xf numFmtId="1" fontId="20" fillId="53" borderId="0" pivotButton="0" quotePrefix="0" xfId="0"/>
    <xf numFmtId="0" fontId="66" fillId="74" borderId="0" pivotButton="0" quotePrefix="0" xfId="0"/>
    <xf numFmtId="0" fontId="0" fillId="74" borderId="0" pivotButton="0" quotePrefix="0" xfId="0"/>
    <xf numFmtId="0" fontId="67" fillId="0" borderId="0" pivotButton="0" quotePrefix="0" xfId="0"/>
    <xf numFmtId="164" fontId="67" fillId="0" borderId="0" pivotButton="0" quotePrefix="0" xfId="0"/>
    <xf numFmtId="1" fontId="11" fillId="0" borderId="0" pivotButton="0" quotePrefix="0" xfId="0"/>
    <xf numFmtId="0" fontId="66" fillId="75" borderId="0" pivotButton="0" quotePrefix="0" xfId="0"/>
    <xf numFmtId="0" fontId="0" fillId="75" borderId="0" pivotButton="0" quotePrefix="0" xfId="0"/>
    <xf numFmtId="0" fontId="66" fillId="76" borderId="0" pivotButton="0" quotePrefix="0" xfId="0"/>
    <xf numFmtId="0" fontId="0" fillId="76" borderId="0" pivotButton="0" quotePrefix="0" xfId="0"/>
    <xf numFmtId="0" fontId="66" fillId="77" borderId="0" pivotButton="0" quotePrefix="0" xfId="0"/>
    <xf numFmtId="0" fontId="0" fillId="77" borderId="0" pivotButton="0" quotePrefix="0" xfId="0"/>
    <xf numFmtId="0" fontId="66" fillId="78" borderId="0" pivotButton="0" quotePrefix="0" xfId="0"/>
    <xf numFmtId="0" fontId="0" fillId="78" borderId="0" pivotButton="0" quotePrefix="0" xfId="0"/>
    <xf numFmtId="0" fontId="66" fillId="79" borderId="0" pivotButton="0" quotePrefix="0" xfId="0"/>
    <xf numFmtId="0" fontId="0" fillId="79" borderId="0" pivotButton="0" quotePrefix="0" xfId="0"/>
    <xf numFmtId="0" fontId="35" fillId="0" borderId="0" pivotButton="0" quotePrefix="0" xfId="0"/>
    <xf numFmtId="0" fontId="35" fillId="80" borderId="0" pivotButton="0" quotePrefix="0" xfId="0"/>
    <xf numFmtId="179" fontId="68" fillId="49" borderId="0" pivotButton="0" quotePrefix="0" xfId="0"/>
    <xf numFmtId="0" fontId="69" fillId="0" borderId="0" pivotButton="0" quotePrefix="0" xfId="0"/>
    <xf numFmtId="0" fontId="71" fillId="47" borderId="0" pivotButton="0" quotePrefix="0" xfId="0"/>
    <xf numFmtId="0" fontId="70" fillId="0" borderId="0" pivotButton="0" quotePrefix="0" xfId="0"/>
    <xf numFmtId="0" fontId="0" fillId="0" borderId="0" pivotButton="0" quotePrefix="1" xfId="0"/>
    <xf numFmtId="0" fontId="72" fillId="0" borderId="0" pivotButton="0" quotePrefix="0" xfId="0"/>
    <xf numFmtId="179" fontId="73" fillId="49" borderId="0" pivotButton="0" quotePrefix="0" xfId="0"/>
    <xf numFmtId="0" fontId="74" fillId="0" borderId="0" pivotButton="0" quotePrefix="0" xfId="0"/>
    <xf numFmtId="0" fontId="75" fillId="0" borderId="0" pivotButton="0" quotePrefix="0" xfId="0"/>
    <xf numFmtId="0" fontId="66" fillId="81" borderId="0" pivotButton="0" quotePrefix="0" xfId="0"/>
    <xf numFmtId="0" fontId="0" fillId="81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11" fillId="82" borderId="0" pivotButton="0" quotePrefix="0" xfId="0"/>
    <xf numFmtId="3" fontId="21" fillId="53" borderId="0" pivotButton="0" quotePrefix="0" xfId="0"/>
    <xf numFmtId="0" fontId="76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0" fontId="35" fillId="63" borderId="0" pivotButton="0" quotePrefix="0" xfId="0"/>
    <xf numFmtId="11" fontId="20" fillId="53" borderId="0" pivotButton="0" quotePrefix="0" xfId="0"/>
    <xf numFmtId="178" fontId="0" fillId="0" borderId="0" pivotButton="0" quotePrefix="0" xfId="0"/>
    <xf numFmtId="184" fontId="0" fillId="0" borderId="0" pivotButton="0" quotePrefix="0" xfId="0"/>
    <xf numFmtId="185" fontId="0" fillId="0" borderId="0" pivotButton="0" quotePrefix="0" xfId="0"/>
    <xf numFmtId="167" fontId="20" fillId="53" borderId="0" pivotButton="0" quotePrefix="0" xfId="0"/>
    <xf numFmtId="0" fontId="35" fillId="84" borderId="0" pivotButton="0" quotePrefix="0" xfId="0"/>
    <xf numFmtId="0" fontId="66" fillId="85" borderId="0" pivotButton="0" quotePrefix="0" xfId="0"/>
    <xf numFmtId="0" fontId="0" fillId="85" borderId="0" pivotButton="0" quotePrefix="0" xfId="0"/>
    <xf numFmtId="9" fontId="20" fillId="53" borderId="0" pivotButton="0" quotePrefix="0" xfId="0"/>
    <xf numFmtId="0" fontId="66" fillId="54" borderId="0" pivotButton="0" quotePrefix="0" xfId="0"/>
    <xf numFmtId="0" fontId="0" fillId="54" borderId="0" pivotButton="0" quotePrefix="0" xfId="0"/>
    <xf numFmtId="0" fontId="77" fillId="46" borderId="0" pivotButton="0" quotePrefix="0" xfId="0"/>
    <xf numFmtId="0" fontId="71" fillId="0" borderId="0" pivotButton="0" quotePrefix="0" xfId="0"/>
    <xf numFmtId="0" fontId="71" fillId="49" borderId="0" pivotButton="0" quotePrefix="0" xfId="0"/>
    <xf numFmtId="0" fontId="77" fillId="74" borderId="0" pivotButton="0" quotePrefix="0" xfId="0"/>
    <xf numFmtId="0" fontId="71" fillId="48" borderId="0" pivotButton="0" quotePrefix="0" xfId="0"/>
    <xf numFmtId="0" fontId="78" fillId="0" borderId="0" pivotButton="0" quotePrefix="0" xfId="0"/>
    <xf numFmtId="0" fontId="79" fillId="0" borderId="0" pivotButton="0" quotePrefix="0" xfId="0"/>
    <xf numFmtId="49" fontId="21" fillId="47" borderId="0" pivotButton="0" quotePrefix="0" xfId="0"/>
    <xf numFmtId="0" fontId="66" fillId="86" borderId="0" pivotButton="0" quotePrefix="0" xfId="0"/>
    <xf numFmtId="0" fontId="0" fillId="86" borderId="0" pivotButton="0" quotePrefix="0" xfId="0"/>
    <xf numFmtId="0" fontId="0" fillId="84" borderId="0" pivotButton="0" quotePrefix="0" xfId="0"/>
    <xf numFmtId="3" fontId="0" fillId="84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82" fillId="0" borderId="0" pivotButton="0" quotePrefix="0" xfId="0"/>
    <xf numFmtId="0" fontId="83" fillId="0" borderId="0" pivotButton="0" quotePrefix="0" xfId="0"/>
    <xf numFmtId="0" fontId="84" fillId="77" borderId="0" pivotButton="0" quotePrefix="0" xfId="0"/>
    <xf numFmtId="0" fontId="85" fillId="87" borderId="0" pivotButton="0" quotePrefix="0" xfId="0"/>
    <xf numFmtId="0" fontId="85" fillId="87" borderId="26" pivotButton="0" quotePrefix="0" xfId="1"/>
    <xf numFmtId="0" fontId="65" fillId="0" borderId="26" pivotButton="0" quotePrefix="0" xfId="1"/>
    <xf numFmtId="0" fontId="11" fillId="53" borderId="26" pivotButton="0" quotePrefix="0" xfId="1"/>
    <xf numFmtId="0" fontId="19" fillId="0" borderId="26" pivotButton="0" quotePrefix="1" xfId="1"/>
    <xf numFmtId="0" fontId="85" fillId="88" borderId="0" pivotButton="0" quotePrefix="0" xfId="0"/>
    <xf numFmtId="0" fontId="11" fillId="89" borderId="0" pivotButton="0" quotePrefix="0" xfId="0"/>
    <xf numFmtId="0" fontId="85" fillId="88" borderId="26" pivotButton="0" quotePrefix="0" xfId="1"/>
    <xf numFmtId="0" fontId="11" fillId="89" borderId="26" pivotButton="0" quotePrefix="0" xfId="1"/>
    <xf numFmtId="0" fontId="86" fillId="0" borderId="0" pivotButton="0" quotePrefix="0" xfId="0"/>
    <xf numFmtId="0" fontId="87" fillId="53" borderId="0" pivotButton="0" quotePrefix="0" xfId="0"/>
    <xf numFmtId="0" fontId="88" fillId="88" borderId="0" pivotButton="0" quotePrefix="0" xfId="0"/>
    <xf numFmtId="0" fontId="86" fillId="0" borderId="0" pivotButton="0" quotePrefix="1" xfId="0"/>
    <xf numFmtId="0" fontId="87" fillId="89" borderId="0" pivotButton="0" quotePrefix="0" xfId="0"/>
    <xf numFmtId="2" fontId="2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2" fontId="2" fillId="3" borderId="0" applyAlignment="1" pivotButton="0" quotePrefix="0" xfId="0">
      <alignment horizontal="left" vertical="center"/>
    </xf>
    <xf numFmtId="0" fontId="2" fillId="2" borderId="8" applyAlignment="1" pivotButton="0" quotePrefix="0" xfId="0">
      <alignment vertical="center" wrapText="1"/>
    </xf>
    <xf numFmtId="0" fontId="4" fillId="0" borderId="9" pivotButton="0" quotePrefix="0" xfId="0"/>
    <xf numFmtId="0" fontId="4" fillId="0" borderId="10" pivotButton="0" quotePrefix="0" xfId="0"/>
    <xf numFmtId="0" fontId="4" fillId="0" borderId="0" applyAlignment="1" pivotButton="0" quotePrefix="0" xfId="0">
      <alignment vertical="center" wrapText="1"/>
    </xf>
    <xf numFmtId="0" fontId="2" fillId="28" borderId="8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0" fontId="2" fillId="9" borderId="8" applyAlignment="1" pivotButton="0" quotePrefix="0" xfId="0">
      <alignment vertical="center" wrapText="1"/>
    </xf>
    <xf numFmtId="49" fontId="11" fillId="3" borderId="21" applyAlignment="1" pivotButton="0" quotePrefix="0" xfId="0">
      <alignment horizontal="center"/>
    </xf>
    <xf numFmtId="0" fontId="4" fillId="0" borderId="22" pivotButton="0" quotePrefix="0" xfId="0"/>
    <xf numFmtId="0" fontId="4" fillId="0" borderId="23" pivotButton="0" quotePrefix="0" xfId="0"/>
    <xf numFmtId="49" fontId="11" fillId="38" borderId="25" applyAlignment="1" pivotButton="0" quotePrefix="0" xfId="0">
      <alignment horizontal="center"/>
    </xf>
    <xf numFmtId="0" fontId="4" fillId="0" borderId="26" pivotButton="0" quotePrefix="0" xfId="0"/>
    <xf numFmtId="49" fontId="11" fillId="38" borderId="25" pivotButton="0" quotePrefix="0" xfId="0"/>
    <xf numFmtId="0" fontId="35" fillId="62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 wrapText="1"/>
    </xf>
    <xf numFmtId="0" fontId="35" fillId="62" borderId="0" applyAlignment="1" pivotButton="0" quotePrefix="0" xfId="0">
      <alignment horizontal="center" wrapText="1"/>
    </xf>
    <xf numFmtId="0" fontId="0" fillId="0" borderId="37" pivotButton="0" quotePrefix="0" xfId="0"/>
    <xf numFmtId="0" fontId="0" fillId="0" borderId="43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26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24" fillId="83" borderId="0" applyAlignment="1" pivotButton="0" quotePrefix="0" xfId="0">
      <alignment horizontal="center"/>
    </xf>
    <xf numFmtId="0" fontId="89" fillId="0" borderId="0" applyAlignment="1" pivotButton="0" quotePrefix="0" xfId="0">
      <alignment vertical="top" wrapText="1"/>
    </xf>
    <xf numFmtId="0" fontId="85" fillId="87" borderId="0" applyAlignment="1" pivotButton="0" quotePrefix="0" xfId="0">
      <alignment horizontal="center"/>
    </xf>
    <xf numFmtId="0" fontId="85" fillId="88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Tony Koop</author>
  </authors>
  <commentList>
    <comment ref="B30" authorId="0" shapeId="0">
      <text>
        <t>Tony Koop:
Bowl wall thickness at port — adjust if thinner/thicker</t>
      </text>
    </comment>
    <comment ref="G38" authorId="0" shapeId="0">
      <text>
        <t>Tony Koop:
Tongue length + kerf on each side</t>
      </text>
    </comment>
    <comment ref="G39" authorId="0" shapeId="0">
      <text>
        <t>Tony Koop:
Tongue length + kerf on each side</t>
      </text>
    </comment>
    <comment ref="G40" authorId="0" shapeId="0">
      <text>
        <t>Tony Koop:
Tongue length + kerf on each side</t>
      </text>
    </comment>
    <comment ref="G41" authorId="0" shapeId="0">
      <text>
        <t>Tony Koop:
Tongue length + kerf on each side</t>
      </text>
    </comment>
    <comment ref="G42" authorId="0" shapeId="0">
      <text>
        <t>Tony Koop:
Tongue length + kerf on each side</t>
      </text>
    </comment>
    <comment ref="G43" authorId="0" shapeId="0">
      <text>
        <t>Tony Koop:
Tongue length + kerf on each side</t>
      </text>
    </comment>
    <comment ref="G44" authorId="0" shapeId="0">
      <text>
        <t>Tony Koop:
Tongue length + kerf on each side</t>
      </text>
    </comment>
    <comment ref="G45" authorId="0" shapeId="0">
      <text>
        <t>Tony Koop:
Tongue length + kerf on each side</t>
      </text>
    </comment>
    <comment ref="G46" authorId="0" shapeId="0">
      <text>
        <t>Tony Koop:
Tongue length + kerf on each side</t>
      </text>
    </comment>
    <comment ref="G47" authorId="0" shapeId="0">
      <text>
        <t>Tony Koop:
Tongue length + kerf on each side</t>
      </text>
    </comment>
    <comment ref="G48" authorId="0" shapeId="0">
      <text>
        <t>Tony Koop:
Tongue length + kerf on each side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3" topLeftCell="A24" activePane="bottomLeft" state="frozen"/>
      <selection pane="bottomLeft" activeCell="A1" sqref="A1"/>
    </sheetView>
  </sheetViews>
  <sheetFormatPr baseColWidth="8" defaultRowHeight="12.75"/>
  <cols>
    <col width="137.140625" customWidth="1" style="817" min="1" max="1"/>
    <col width="34.28515625" customWidth="1" style="817" min="2" max="2"/>
    <col width="22.85546875" customWidth="1" style="817" min="3" max="5"/>
    <col width="19" customWidth="1" style="817" min="6" max="7"/>
    <col width="15.28515625" customWidth="1" style="817" min="8" max="8"/>
    <col width="19" customWidth="1" style="817" min="9" max="9"/>
  </cols>
  <sheetData>
    <row r="1" ht="18" customHeight="1" s="817">
      <c r="A1" s="470" t="inlineStr">
        <is>
          <t>Wood Shell Tongue Drum — Hybrid: Wooden Bowl + Cantilever Tongues + Helmholtz Resonance</t>
        </is>
      </c>
    </row>
    <row r="2">
      <c r="A2" s="734" t="inlineStr">
        <is>
          <t>Combines segmented/stave bowl construction with flat tonewood soundboard · CNC-cut tongue slits · Enclosed chamber for Helmholtz sustain</t>
        </is>
      </c>
    </row>
    <row r="4" ht="15" customHeight="1" s="817">
      <c r="A4" s="735" t="inlineStr">
        <is>
          <t>SHARED DESIGN INPUTS</t>
        </is>
      </c>
      <c r="B4" s="736" t="n"/>
      <c r="C4" s="736" t="n"/>
      <c r="D4" s="736" t="n"/>
    </row>
    <row r="5">
      <c r="A5" t="inlineStr">
        <is>
          <t>Shell Outer Diameter (in)</t>
        </is>
      </c>
      <c r="B5" s="565" t="n">
        <v>12</v>
      </c>
      <c r="C5" t="inlineStr">
        <is>
          <t>≈ 30 cm; matches common tongue drum size</t>
        </is>
      </c>
    </row>
    <row r="6">
      <c r="A6" t="inlineStr">
        <is>
          <t>Shell Height / Depth (in)</t>
        </is>
      </c>
      <c r="B6" s="565" t="n">
        <v>5</v>
      </c>
      <c r="C6" t="inlineStr">
        <is>
          <t>Bowl depth below soundboard rim</t>
        </is>
      </c>
    </row>
    <row r="7">
      <c r="A7" t="inlineStr">
        <is>
          <t>Soundboard Thickness (in)</t>
        </is>
      </c>
      <c r="B7" s="596" t="n">
        <v>0.375</v>
      </c>
      <c r="C7" t="inlineStr">
        <is>
          <t>3/8" — standard for wooden tongue drums</t>
        </is>
      </c>
    </row>
    <row r="8">
      <c r="A8" t="inlineStr">
        <is>
          <t>Soundboard Wood</t>
        </is>
      </c>
      <c r="B8" s="564" t="inlineStr">
        <is>
          <t>Padauk</t>
        </is>
      </c>
    </row>
    <row r="9">
      <c r="A9" t="inlineStr">
        <is>
          <t>Soundboard K (cantilever)</t>
        </is>
      </c>
      <c r="B9" s="679" t="n">
        <v>24438</v>
      </c>
      <c r="C9" t="inlineStr">
        <is>
          <t>From material library below; Padauk = 24,438</t>
        </is>
      </c>
    </row>
    <row r="10">
      <c r="A10" t="inlineStr">
        <is>
          <t>Slit Kerf Width (in)</t>
        </is>
      </c>
      <c r="B10" s="596" t="n">
        <v>0.125</v>
      </c>
      <c r="C10" t="inlineStr">
        <is>
          <t>1/8" CNC upcut spiral bit</t>
        </is>
      </c>
    </row>
    <row r="11">
      <c r="A11" t="inlineStr">
        <is>
          <t>Tongue Width (in)</t>
        </is>
      </c>
      <c r="B11" s="565" t="n">
        <v>1</v>
      </c>
      <c r="C11" t="inlineStr">
        <is>
          <t>Width affects volume, NOT pitch</t>
        </is>
      </c>
    </row>
    <row r="12">
      <c r="A12" t="inlineStr">
        <is>
          <t>Number of Tongues</t>
        </is>
      </c>
      <c r="B12" s="737" t="n">
        <v>11</v>
      </c>
    </row>
    <row r="13">
      <c r="A13" t="inlineStr">
        <is>
          <t>Scale</t>
        </is>
      </c>
      <c r="B13" s="564" t="inlineStr">
        <is>
          <t>D Kurd</t>
        </is>
      </c>
    </row>
    <row r="14">
      <c r="A14" t="inlineStr">
        <is>
          <t>Gu Port Diameter (in)</t>
        </is>
      </c>
      <c r="B14" s="565" t="n">
        <v>2.5</v>
      </c>
      <c r="C14" t="inlineStr">
        <is>
          <t>Bottom of bowl; controls Helmholtz bass</t>
        </is>
      </c>
    </row>
    <row r="15">
      <c r="A15" t="inlineStr">
        <is>
          <t>Bowl Wood</t>
        </is>
      </c>
      <c r="B15" s="564" t="inlineStr">
        <is>
          <t>Black Walnut</t>
        </is>
      </c>
      <c r="C15" t="inlineStr">
        <is>
          <t>Bowl is NOT the soundboard — any attractive hardwood works</t>
        </is>
      </c>
    </row>
    <row r="17" ht="15" customHeight="1" s="817">
      <c r="A17" s="738" t="inlineStr">
        <is>
          <t>SOUNDBOARD MATERIAL LIBRARY — Cantilever K Values (from Tongue Drum sheet)</t>
        </is>
      </c>
      <c r="B17" s="739" t="n"/>
      <c r="C17" s="739" t="n"/>
      <c r="D17" s="739" t="n"/>
      <c r="E17" s="739" t="n"/>
      <c r="F17" s="739" t="n"/>
    </row>
    <row r="18">
      <c r="A18" s="484" t="inlineStr">
        <is>
          <t>Wood</t>
        </is>
      </c>
      <c r="B18" s="484" t="inlineStr">
        <is>
          <t>E (GPa)</t>
        </is>
      </c>
      <c r="C18" s="484" t="inlineStr">
        <is>
          <t>ρ (kg/m³)</t>
        </is>
      </c>
      <c r="D18" s="484" t="inlineStr">
        <is>
          <t>K (cantilever)</t>
        </is>
      </c>
      <c r="E18" s="484" t="inlineStr">
        <is>
          <t>Tone Character</t>
        </is>
      </c>
      <c r="F18" s="484" t="inlineStr">
        <is>
          <t>Rating</t>
        </is>
      </c>
    </row>
    <row r="19">
      <c r="A19" t="inlineStr">
        <is>
          <t>Padauk</t>
        </is>
      </c>
      <c r="B19" t="n">
        <v>11</v>
      </c>
      <c r="C19" t="n">
        <v>745</v>
      </c>
      <c r="D19" s="662" t="n">
        <v>24438</v>
      </c>
      <c r="E19" t="inlineStr">
        <is>
          <t>Warm, rich, excellent sustain</t>
        </is>
      </c>
      <c r="F19" t="inlineStr">
        <is>
          <t>★★★★★</t>
        </is>
      </c>
    </row>
    <row r="20">
      <c r="A20" t="inlineStr">
        <is>
          <t>Wenge</t>
        </is>
      </c>
      <c r="B20" t="n">
        <v>15.8</v>
      </c>
      <c r="C20" t="n">
        <v>870</v>
      </c>
      <c r="D20" s="662" t="n">
        <v>27103</v>
      </c>
      <c r="E20" t="inlineStr">
        <is>
          <t>Bright, punchy attack</t>
        </is>
      </c>
      <c r="F20" t="inlineStr">
        <is>
          <t>★★★★★</t>
        </is>
      </c>
    </row>
    <row r="21">
      <c r="A21" t="inlineStr">
        <is>
          <t>Cherry</t>
        </is>
      </c>
      <c r="B21" t="n">
        <v>10.3</v>
      </c>
      <c r="C21" t="n">
        <v>560</v>
      </c>
      <c r="D21" s="662" t="n">
        <v>27275</v>
      </c>
      <c r="E21" t="inlineStr">
        <is>
          <t>Balanced, sweet midrange</t>
        </is>
      </c>
      <c r="F21" t="inlineStr">
        <is>
          <t>★★★★</t>
        </is>
      </c>
    </row>
    <row r="22">
      <c r="A22" t="inlineStr">
        <is>
          <t>Black Walnut</t>
        </is>
      </c>
      <c r="B22" t="n">
        <v>11.6</v>
      </c>
      <c r="C22" t="n">
        <v>610</v>
      </c>
      <c r="D22" s="662" t="n">
        <v>27734</v>
      </c>
      <c r="E22" t="inlineStr">
        <is>
          <t>Full, mellow</t>
        </is>
      </c>
      <c r="F22" t="inlineStr">
        <is>
          <t>★★★★</t>
        </is>
      </c>
    </row>
    <row r="23">
      <c r="A23" t="inlineStr">
        <is>
          <t>Hard Maple</t>
        </is>
      </c>
      <c r="B23" t="n">
        <v>12.6</v>
      </c>
      <c r="C23" t="n">
        <v>705</v>
      </c>
      <c r="D23" s="662" t="n">
        <v>26887</v>
      </c>
      <c r="E23" t="inlineStr">
        <is>
          <t>Bright, long sustain</t>
        </is>
      </c>
      <c r="F23" t="inlineStr">
        <is>
          <t>★★★★</t>
        </is>
      </c>
    </row>
    <row r="24">
      <c r="A24" t="inlineStr">
        <is>
          <t>Mahogany</t>
        </is>
      </c>
      <c r="B24" t="n">
        <v>10.1</v>
      </c>
      <c r="C24" t="n">
        <v>590</v>
      </c>
      <c r="D24" s="662" t="n">
        <v>26314</v>
      </c>
      <c r="E24" t="inlineStr">
        <is>
          <t>Warm, full bass</t>
        </is>
      </c>
      <c r="F24" t="inlineStr">
        <is>
          <t>★★★★</t>
        </is>
      </c>
    </row>
    <row r="25">
      <c r="A25" t="inlineStr">
        <is>
          <t>Western Red Cedar</t>
        </is>
      </c>
      <c r="B25" t="n">
        <v>7.7</v>
      </c>
      <c r="C25" t="n">
        <v>370</v>
      </c>
      <c r="D25" s="662" t="n">
        <v>29013</v>
      </c>
      <c r="E25" t="inlineStr">
        <is>
          <t>Light, resonant, guitar-like</t>
        </is>
      </c>
      <c r="F25" t="inlineStr">
        <is>
          <t>★★★</t>
        </is>
      </c>
    </row>
    <row r="27" ht="15" customHeight="1" s="817">
      <c r="A27" s="743" t="inlineStr">
        <is>
          <t>HELMHOLTZ RESONANCE (Enclosed Bowl Chamber)</t>
        </is>
      </c>
      <c r="B27" s="744" t="n"/>
      <c r="C27" s="744" t="n"/>
      <c r="D27" s="744" t="n"/>
    </row>
    <row r="28">
      <c r="A28" t="inlineStr">
        <is>
          <t>Chamber Volume (in³)</t>
        </is>
      </c>
      <c r="B28" s="481">
        <f>(2/3)*PI()*(B5/2)^2*B6</f>
        <v/>
      </c>
      <c r="C28" t="inlineStr">
        <is>
          <t>≈ 2/3 × π × r² × h (hemisphere)</t>
        </is>
      </c>
    </row>
    <row r="29">
      <c r="A29" t="inlineStr">
        <is>
          <t>Port Area (in²)</t>
        </is>
      </c>
      <c r="B29" s="469">
        <f>PI()*(B14/2)^2</f>
        <v/>
      </c>
    </row>
    <row r="30">
      <c r="A30" t="inlineStr">
        <is>
          <t>Neck Length (in)</t>
        </is>
      </c>
      <c r="B30" s="469">
        <f>0.75</f>
        <v/>
      </c>
    </row>
    <row r="31">
      <c r="A31" t="inlineStr">
        <is>
          <t>Helmholtz Freq (Hz)</t>
        </is>
      </c>
      <c r="B31" s="707">
        <f>(13552/(2*PI()))*SQRT(B29/(B28*B30))</f>
        <v/>
      </c>
      <c r="C31" t="inlineStr">
        <is>
          <t>← Should be below the lowest tongue note for warm bass coupling</t>
        </is>
      </c>
    </row>
    <row r="32">
      <c r="A32" t="inlineStr">
        <is>
          <t>Nearest Note</t>
        </is>
      </c>
      <c r="B32" s="472">
        <f>CHOOSE(MOD(ROUND(12*LOG(B31/440,2)+69,0),12)+1,"C","C#","D","D#","E","F","F#","G","G#","A","A#","B")&amp;INT((ROUND(12*LOG(B31/440,2)+69,0))/12-1)</f>
        <v/>
      </c>
    </row>
    <row r="34" ht="15" customHeight="1" s="817">
      <c r="A34" s="764" t="inlineStr">
        <is>
          <t>TONGUE LENGTH CALCULATOR — Cantilever: f = K × t / L² → L = √(K × t / f)</t>
        </is>
      </c>
      <c r="B34" s="765" t="n"/>
      <c r="C34" s="765" t="n"/>
      <c r="D34" s="765" t="n"/>
      <c r="E34" s="765" t="n"/>
      <c r="F34" s="765" t="n"/>
      <c r="G34" s="765" t="n"/>
      <c r="H34" s="765" t="n"/>
      <c r="I34" s="765" t="n"/>
    </row>
    <row r="35">
      <c r="A35" t="inlineStr">
        <is>
          <t>Max Tongue Length (in)</t>
        </is>
      </c>
      <c r="B35" s="481">
        <f>B5/2-1</f>
        <v/>
      </c>
      <c r="C35" t="inlineStr">
        <is>
          <t>← radius minus 1" Ding clearance</t>
        </is>
      </c>
    </row>
    <row r="37">
      <c r="A37" s="713" t="inlineStr">
        <is>
          <t>#</t>
        </is>
      </c>
      <c r="B37" s="713" t="inlineStr">
        <is>
          <t>Note</t>
        </is>
      </c>
      <c r="C37" s="713" t="inlineStr">
        <is>
          <t>MIDI</t>
        </is>
      </c>
      <c r="D37" s="713" t="inlineStr">
        <is>
          <t>Freq (Hz)</t>
        </is>
      </c>
      <c r="E37" s="713" t="inlineStr">
        <is>
          <t>Tongue Length (in)</t>
        </is>
      </c>
      <c r="F37" s="713" t="inlineStr">
        <is>
          <t>Length (mm)</t>
        </is>
      </c>
      <c r="G37" s="713" t="inlineStr">
        <is>
          <t>Cut Length (in)</t>
        </is>
      </c>
      <c r="H37" s="713" t="inlineStr">
        <is>
          <t>Position</t>
        </is>
      </c>
      <c r="I37" s="713" t="inlineStr">
        <is>
          <t>Fits?</t>
        </is>
      </c>
    </row>
    <row r="38">
      <c r="A38" t="inlineStr">
        <is>
          <t>Ding</t>
        </is>
      </c>
      <c r="B38" s="564" t="inlineStr">
        <is>
          <t>D3</t>
        </is>
      </c>
      <c r="C38" s="564" t="n">
        <v>50</v>
      </c>
      <c r="D38" s="481">
        <f>440*2^((C38-69)/12)</f>
        <v/>
      </c>
      <c r="E38" s="482">
        <f>SQRT($B$9*$B$7/D38)</f>
        <v/>
      </c>
      <c r="F38" s="481">
        <f>E38*25.4</f>
        <v/>
      </c>
      <c r="G38" s="482">
        <f>E38+$B$10</f>
        <v/>
      </c>
      <c r="H38" t="inlineStr">
        <is>
          <t>Center</t>
        </is>
      </c>
      <c r="I38" s="472">
        <f>IF(E38&lt;=$B$35,"OK","⚠️ TOO LONG")</f>
        <v/>
      </c>
    </row>
    <row r="39">
      <c r="A39" t="n">
        <v>1</v>
      </c>
      <c r="B39" s="564" t="inlineStr">
        <is>
          <t>A3</t>
        </is>
      </c>
      <c r="C39" s="564" t="n">
        <v>57</v>
      </c>
      <c r="D39" s="481">
        <f>440*2^((C39-69)/12)</f>
        <v/>
      </c>
      <c r="E39" s="482">
        <f>SQRT($B$9*$B$7/D39)</f>
        <v/>
      </c>
      <c r="F39" s="481">
        <f>E39*25.4</f>
        <v/>
      </c>
      <c r="G39" s="482">
        <f>E39+$B$10</f>
        <v/>
      </c>
      <c r="H39" t="inlineStr">
        <is>
          <t>Center</t>
        </is>
      </c>
      <c r="I39" s="472">
        <f>IF(E39&lt;=$B$35,"OK","⚠️ TOO LONG")</f>
        <v/>
      </c>
    </row>
    <row r="40">
      <c r="A40" t="n">
        <v>2</v>
      </c>
      <c r="B40" s="564" t="inlineStr">
        <is>
          <t>Bb3</t>
        </is>
      </c>
      <c r="C40" s="564" t="n">
        <v>58</v>
      </c>
      <c r="D40" s="481">
        <f>440*2^((C40-69)/12)</f>
        <v/>
      </c>
      <c r="E40" s="482">
        <f>SQRT($B$9*$B$7/D40)</f>
        <v/>
      </c>
      <c r="F40" s="481">
        <f>E40*25.4</f>
        <v/>
      </c>
      <c r="G40" s="482">
        <f>E40+$B$10</f>
        <v/>
      </c>
      <c r="H40" t="inlineStr">
        <is>
          <t>Center</t>
        </is>
      </c>
      <c r="I40" s="472">
        <f>IF(E40&lt;=$B$35,"OK","⚠️ TOO LONG")</f>
        <v/>
      </c>
    </row>
    <row r="41">
      <c r="A41" t="n">
        <v>3</v>
      </c>
      <c r="B41" s="564" t="inlineStr">
        <is>
          <t>C4</t>
        </is>
      </c>
      <c r="C41" s="564" t="n">
        <v>60</v>
      </c>
      <c r="D41" s="481">
        <f>440*2^((C41-69)/12)</f>
        <v/>
      </c>
      <c r="E41" s="482">
        <f>SQRT($B$9*$B$7/D41)</f>
        <v/>
      </c>
      <c r="F41" s="481">
        <f>E41*25.4</f>
        <v/>
      </c>
      <c r="G41" s="482">
        <f>E41+$B$10</f>
        <v/>
      </c>
      <c r="H41" t="inlineStr">
        <is>
          <t>Center</t>
        </is>
      </c>
      <c r="I41" s="472">
        <f>IF(E41&lt;=$B$35,"OK","⚠️ TOO LONG")</f>
        <v/>
      </c>
    </row>
    <row r="42">
      <c r="A42" t="n">
        <v>4</v>
      </c>
      <c r="B42" s="564" t="inlineStr">
        <is>
          <t>D4</t>
        </is>
      </c>
      <c r="C42" s="564" t="n">
        <v>62</v>
      </c>
      <c r="D42" s="481">
        <f>440*2^((C42-69)/12)</f>
        <v/>
      </c>
      <c r="E42" s="482">
        <f>SQRT($B$9*$B$7/D42)</f>
        <v/>
      </c>
      <c r="F42" s="481">
        <f>E42*25.4</f>
        <v/>
      </c>
      <c r="G42" s="482">
        <f>E42+$B$10</f>
        <v/>
      </c>
      <c r="H42" t="inlineStr">
        <is>
          <t>Center</t>
        </is>
      </c>
      <c r="I42" s="472">
        <f>IF(E42&lt;=$B$35,"OK","⚠️ TOO LONG")</f>
        <v/>
      </c>
    </row>
    <row r="43">
      <c r="A43" t="n">
        <v>5</v>
      </c>
      <c r="B43" s="564" t="inlineStr">
        <is>
          <t>E4</t>
        </is>
      </c>
      <c r="C43" s="564" t="n">
        <v>64</v>
      </c>
      <c r="D43" s="481">
        <f>440*2^((C43-69)/12)</f>
        <v/>
      </c>
      <c r="E43" s="482">
        <f>SQRT($B$9*$B$7/D43)</f>
        <v/>
      </c>
      <c r="F43" s="481">
        <f>E43*25.4</f>
        <v/>
      </c>
      <c r="G43" s="482">
        <f>E43+$B$10</f>
        <v/>
      </c>
      <c r="H43" t="inlineStr">
        <is>
          <t>Center</t>
        </is>
      </c>
      <c r="I43" s="472">
        <f>IF(E43&lt;=$B$35,"OK","⚠️ TOO LONG")</f>
        <v/>
      </c>
    </row>
    <row r="44">
      <c r="A44" t="n">
        <v>6</v>
      </c>
      <c r="B44" s="564" t="inlineStr">
        <is>
          <t>F4</t>
        </is>
      </c>
      <c r="C44" s="564" t="n">
        <v>65</v>
      </c>
      <c r="D44" s="481">
        <f>440*2^((C44-69)/12)</f>
        <v/>
      </c>
      <c r="E44" s="482">
        <f>SQRT($B$9*$B$7/D44)</f>
        <v/>
      </c>
      <c r="F44" s="481">
        <f>E44*25.4</f>
        <v/>
      </c>
      <c r="G44" s="482">
        <f>E44+$B$10</f>
        <v/>
      </c>
      <c r="H44" t="inlineStr">
        <is>
          <t>Center</t>
        </is>
      </c>
      <c r="I44" s="472">
        <f>IF(E44&lt;=$B$35,"OK","⚠️ TOO LONG")</f>
        <v/>
      </c>
    </row>
    <row r="45">
      <c r="A45" t="n">
        <v>7</v>
      </c>
      <c r="B45" s="564" t="inlineStr">
        <is>
          <t>G4</t>
        </is>
      </c>
      <c r="C45" s="564" t="n">
        <v>67</v>
      </c>
      <c r="D45" s="481">
        <f>440*2^((C45-69)/12)</f>
        <v/>
      </c>
      <c r="E45" s="482">
        <f>SQRT($B$9*$B$7/D45)</f>
        <v/>
      </c>
      <c r="F45" s="481">
        <f>E45*25.4</f>
        <v/>
      </c>
      <c r="G45" s="482">
        <f>E45+$B$10</f>
        <v/>
      </c>
      <c r="H45" t="inlineStr">
        <is>
          <t>Center</t>
        </is>
      </c>
      <c r="I45" s="472">
        <f>IF(E45&lt;=$B$35,"OK","⚠️ TOO LONG")</f>
        <v/>
      </c>
    </row>
    <row r="46">
      <c r="A46" t="n">
        <v>8</v>
      </c>
      <c r="B46" s="564" t="inlineStr">
        <is>
          <t>A4</t>
        </is>
      </c>
      <c r="C46" s="564" t="n">
        <v>69</v>
      </c>
      <c r="D46" s="481">
        <f>440*2^((C46-69)/12)</f>
        <v/>
      </c>
      <c r="E46" s="482">
        <f>SQRT($B$9*$B$7/D46)</f>
        <v/>
      </c>
      <c r="F46" s="481">
        <f>E46*25.4</f>
        <v/>
      </c>
      <c r="G46" s="482">
        <f>E46+$B$10</f>
        <v/>
      </c>
      <c r="H46" t="inlineStr">
        <is>
          <t>Center</t>
        </is>
      </c>
      <c r="I46" s="472">
        <f>IF(E46&lt;=$B$35,"OK","⚠️ TOO LONG")</f>
        <v/>
      </c>
    </row>
    <row r="47">
      <c r="A47" t="n">
        <v>9</v>
      </c>
      <c r="B47" s="564" t="inlineStr">
        <is>
          <t>C5</t>
        </is>
      </c>
      <c r="C47" s="564" t="n">
        <v>72</v>
      </c>
      <c r="D47" s="481">
        <f>440*2^((C47-69)/12)</f>
        <v/>
      </c>
      <c r="E47" s="482">
        <f>SQRT($B$9*$B$7/D47)</f>
        <v/>
      </c>
      <c r="F47" s="481">
        <f>E47*25.4</f>
        <v/>
      </c>
      <c r="G47" s="482">
        <f>E47+$B$10</f>
        <v/>
      </c>
      <c r="H47" t="inlineStr">
        <is>
          <t>Center</t>
        </is>
      </c>
      <c r="I47" s="472">
        <f>IF(E47&lt;=$B$35,"OK","⚠️ TOO LONG")</f>
        <v/>
      </c>
    </row>
    <row r="48">
      <c r="A48" t="n">
        <v>10</v>
      </c>
      <c r="B48" s="564" t="inlineStr">
        <is>
          <t>D5</t>
        </is>
      </c>
      <c r="C48" s="564" t="n">
        <v>74</v>
      </c>
      <c r="D48" s="481">
        <f>440*2^((C48-69)/12)</f>
        <v/>
      </c>
      <c r="E48" s="482">
        <f>SQRT($B$9*$B$7/D48)</f>
        <v/>
      </c>
      <c r="F48" s="481">
        <f>E48*25.4</f>
        <v/>
      </c>
      <c r="G48" s="482">
        <f>E48+$B$10</f>
        <v/>
      </c>
      <c r="H48" t="inlineStr">
        <is>
          <t>Center</t>
        </is>
      </c>
      <c r="I48" s="472">
        <f>IF(E48&lt;=$B$35,"OK","⚠️ TOO LONG")</f>
        <v/>
      </c>
    </row>
    <row r="50" ht="15" customHeight="1" s="817">
      <c r="A50" s="743" t="inlineStr">
        <is>
          <t>FIT ANALYSIS — Tongue Length vs Shell Radius</t>
        </is>
      </c>
      <c r="B50" s="744" t="n"/>
      <c r="C50" s="744" t="n"/>
      <c r="D50" s="744" t="n"/>
      <c r="E50" s="744" t="n"/>
    </row>
    <row r="51">
      <c r="A51" t="inlineStr">
        <is>
          <t>Wood tongues are MUCH longer than steel at same pitch. D3 Kurd won't fit any practical shell. Solutions:</t>
        </is>
      </c>
    </row>
    <row r="52">
      <c r="A52" s="486" t="inlineStr">
        <is>
          <t>Config</t>
        </is>
      </c>
      <c r="B52" s="486" t="inlineStr">
        <is>
          <t>D3 Tongue (in)</t>
        </is>
      </c>
      <c r="C52" s="486" t="inlineStr">
        <is>
          <t>Max (in)</t>
        </is>
      </c>
      <c r="D52" s="486" t="inlineStr">
        <is>
          <t>Tongues Fit</t>
        </is>
      </c>
      <c r="E52" s="486" t="inlineStr">
        <is>
          <t>Verdict</t>
        </is>
      </c>
    </row>
    <row r="53">
      <c r="A53" t="inlineStr">
        <is>
          <t>D3 Kurd, 3/8" Padauk, 12"</t>
        </is>
      </c>
      <c r="B53" s="481" t="n">
        <v>7.9</v>
      </c>
      <c r="C53" t="n">
        <v>5</v>
      </c>
      <c r="D53" s="695" t="n">
        <v>46123</v>
      </c>
      <c r="E53" t="inlineStr">
        <is>
          <t>❌</t>
        </is>
      </c>
    </row>
    <row r="54">
      <c r="A54" t="inlineStr">
        <is>
          <t>D3 Kurd, 3/8" Padauk, 16"</t>
        </is>
      </c>
      <c r="B54" s="481" t="n">
        <v>7.9</v>
      </c>
      <c r="C54" t="n">
        <v>7</v>
      </c>
      <c r="D54" s="695" t="n">
        <v>46214</v>
      </c>
      <c r="E54" t="inlineStr">
        <is>
          <t>⚠️</t>
        </is>
      </c>
    </row>
    <row r="55">
      <c r="A55" t="inlineStr">
        <is>
          <t>D4 Kurd, 3/8" Padauk, 12"</t>
        </is>
      </c>
      <c r="B55" s="481" t="n">
        <v>5.6</v>
      </c>
      <c r="C55" t="n">
        <v>5</v>
      </c>
      <c r="D55" s="695" t="n">
        <v>46306</v>
      </c>
      <c r="E55" t="inlineStr">
        <is>
          <t>✅</t>
        </is>
      </c>
    </row>
    <row r="56">
      <c r="A56" t="inlineStr">
        <is>
          <t>D4 Kurd, 3/8" Padauk, 14"</t>
        </is>
      </c>
      <c r="B56" s="481" t="n">
        <v>5.6</v>
      </c>
      <c r="C56" t="n">
        <v>6</v>
      </c>
      <c r="D56" s="695" t="inlineStr">
        <is>
          <t>ALL 11</t>
        </is>
      </c>
      <c r="E56" t="inlineStr">
        <is>
          <t>✅✅</t>
        </is>
      </c>
    </row>
    <row r="57">
      <c r="A57" t="inlineStr">
        <is>
          <t>D4 Kurd, 1/4" Cedar, 12"</t>
        </is>
      </c>
      <c r="B57" s="481">
        <f>SQRT(29013*0.25/293.66)</f>
        <v/>
      </c>
      <c r="C57" t="n">
        <v>5</v>
      </c>
      <c r="D57" t="inlineStr">
        <is>
          <t>ALL 11</t>
        </is>
      </c>
      <c r="E57" t="inlineStr">
        <is>
          <t>✅✅</t>
        </is>
      </c>
    </row>
    <row r="59">
      <c r="A59" s="770" t="inlineStr">
        <is>
          <t>RECOMMENDED: D4 Kurd + 3/8" Padauk + 14" shell (all 11 fit with margin)</t>
        </is>
      </c>
    </row>
    <row r="60">
      <c r="A60" s="734" t="inlineStr">
        <is>
          <t>KEY INSIGHT: Wood K (~24k) vs Steel K (~32k) means wood tongues are ~30% longer at same pitch.</t>
        </is>
      </c>
    </row>
    <row r="62" ht="15" customHeight="1" s="817">
      <c r="A62" s="738" t="inlineStr">
        <is>
          <t>CONCEPT A: Segmented Bowl + Flat CNC Soundboard</t>
        </is>
      </c>
      <c r="B62" s="739" t="n"/>
      <c r="C62" s="739" t="n"/>
      <c r="D62" s="739" t="n"/>
      <c r="E62" s="739" t="n"/>
      <c r="F62" s="739" t="n"/>
    </row>
    <row r="63">
      <c r="A63" t="inlineStr">
        <is>
          <t>Description</t>
        </is>
      </c>
      <c r="B63" t="inlineStr">
        <is>
          <t>Segmented ring-stack bowl (like Ashiko/Conga) turned on lathe + flat tonewood disc glued on top with CNC-cut tongues</t>
        </is>
      </c>
    </row>
    <row r="64">
      <c r="A64" t="inlineStr">
        <is>
          <t>Bowl: Rings</t>
        </is>
      </c>
      <c r="B64" s="564" t="n">
        <v>8</v>
      </c>
      <c r="C64" t="inlineStr">
        <is>
          <t>rings</t>
        </is>
      </c>
    </row>
    <row r="65">
      <c r="A65" t="inlineStr">
        <is>
          <t>Bowl: Segments/Ring</t>
        </is>
      </c>
      <c r="B65" s="564" t="n">
        <v>12</v>
      </c>
    </row>
    <row r="66">
      <c r="A66" t="inlineStr">
        <is>
          <t>Bowl: Miter Angle</t>
        </is>
      </c>
      <c r="B66" s="771">
        <f>180/B65</f>
        <v/>
      </c>
    </row>
    <row r="67">
      <c r="A67" t="inlineStr">
        <is>
          <t>Bowl: Total Pieces</t>
        </is>
      </c>
      <c r="B67" s="540">
        <f>B64*B65</f>
        <v/>
      </c>
    </row>
    <row r="68">
      <c r="A68" t="inlineStr">
        <is>
          <t>Bowl: Wall Thickness</t>
        </is>
      </c>
      <c r="B68" s="596" t="n">
        <v>0.75</v>
      </c>
      <c r="C68" t="inlineStr">
        <is>
          <t>After turning</t>
        </is>
      </c>
    </row>
    <row r="69">
      <c r="A69" t="inlineStr">
        <is>
          <t>Bowl: Ring Thickness</t>
        </is>
      </c>
      <c r="B69" s="596" t="n">
        <v>0.75</v>
      </c>
    </row>
    <row r="70">
      <c r="A70" t="inlineStr">
        <is>
          <t>Soundboard Disc</t>
        </is>
      </c>
      <c r="B70" s="481">
        <f>B5</f>
        <v/>
      </c>
      <c r="C70" t="inlineStr">
        <is>
          <t>in diam flat disc; glue to bowl rim</t>
        </is>
      </c>
    </row>
    <row r="71">
      <c r="A71" t="inlineStr">
        <is>
          <t>Pros</t>
        </is>
      </c>
      <c r="B71" t="inlineStr">
        <is>
          <t>Proven technique (you've built 3 segmented drums); beautiful multi-wood patterns; reliable cantilever physics on flat top</t>
        </is>
      </c>
    </row>
    <row r="72">
      <c r="A72" t="inlineStr">
        <is>
          <t>Cons</t>
        </is>
      </c>
      <c r="B72" t="inlineStr">
        <is>
          <t>96 segments to cut; lathe turning required; heavy</t>
        </is>
      </c>
    </row>
    <row r="73">
      <c r="A73" t="inlineStr">
        <is>
          <t>Tools</t>
        </is>
      </c>
      <c r="B73" t="inlineStr">
        <is>
          <t>Table saw + miter sled (segments), wood lathe (turning), CNC router (tongue slits), drill press (Gu port)</t>
        </is>
      </c>
    </row>
    <row r="75" ht="15" customHeight="1" s="817">
      <c r="A75" s="735" t="inlineStr">
        <is>
          <t>CONCEPT B: Stave Shell + Flat CNC Soundboard</t>
        </is>
      </c>
      <c r="B75" s="736" t="n"/>
      <c r="C75" s="736" t="n"/>
      <c r="D75" s="736" t="n"/>
      <c r="E75" s="736" t="n"/>
      <c r="F75" s="736" t="n"/>
    </row>
    <row r="76">
      <c r="A76" t="inlineStr">
        <is>
          <t>Description</t>
        </is>
      </c>
      <c r="B76" t="inlineStr">
        <is>
          <t>Vertical staves ripped at miter angle, glued edge-to-edge around form, turned on lathe + flat tonewood soundboard</t>
        </is>
      </c>
    </row>
    <row r="77">
      <c r="A77" t="inlineStr">
        <is>
          <t>Staves: Count</t>
        </is>
      </c>
      <c r="B77" s="564" t="n">
        <v>16</v>
      </c>
    </row>
    <row r="78">
      <c r="A78" t="inlineStr">
        <is>
          <t>Staves: Miter Angle</t>
        </is>
      </c>
      <c r="B78" s="772">
        <f>180/B77</f>
        <v/>
      </c>
    </row>
    <row r="79">
      <c r="A79" t="inlineStr">
        <is>
          <t>Stave Width at Rim</t>
        </is>
      </c>
      <c r="B79" s="482">
        <f>PI()*B5/B77</f>
        <v/>
      </c>
      <c r="C79" t="inlineStr">
        <is>
          <t>in — widest point</t>
        </is>
      </c>
    </row>
    <row r="80">
      <c r="A80" t="inlineStr">
        <is>
          <t>Stave Height</t>
        </is>
      </c>
      <c r="B80" s="481">
        <f>B6+1</f>
        <v/>
      </c>
      <c r="C80" t="inlineStr">
        <is>
          <t>in — bowl depth + 1" rim overshoot</t>
        </is>
      </c>
    </row>
    <row r="81">
      <c r="A81" t="inlineStr">
        <is>
          <t>Stave Thickness</t>
        </is>
      </c>
      <c r="B81" s="565" t="n">
        <v>1</v>
      </c>
      <c r="C81" t="inlineStr">
        <is>
          <t>in — turns down to ~3/4" wall</t>
        </is>
      </c>
    </row>
    <row r="82">
      <c r="A82" t="inlineStr">
        <is>
          <t>Pros</t>
        </is>
      </c>
      <c r="B82" t="inlineStr">
        <is>
          <t>Only 16 pieces; continuous grain = better acoustics; faster than 96 segments; elegant look</t>
        </is>
      </c>
    </row>
    <row r="83">
      <c r="A83" t="inlineStr">
        <is>
          <t>Cons</t>
        </is>
      </c>
      <c r="B83" t="inlineStr">
        <is>
          <t>Each stave must taper from rim width to narrow base; needs interior form or faceplate for turning</t>
        </is>
      </c>
    </row>
    <row r="84">
      <c r="A84" t="inlineStr">
        <is>
          <t>Tools</t>
        </is>
      </c>
      <c r="B84" t="inlineStr">
        <is>
          <t>Table saw (rip staves at miter), wood lathe + faceplate, band clamp (glue-up), CNC router (tongue slits)</t>
        </is>
      </c>
    </row>
    <row r="86" ht="15" customHeight="1" s="817">
      <c r="A86" s="764" t="inlineStr">
        <is>
          <t>CONCEPT C: Full Sphere — CNC Carved Hemispheres with Curved Tongues</t>
        </is>
      </c>
      <c r="B86" s="765" t="n"/>
      <c r="C86" s="765" t="n"/>
      <c r="D86" s="765" t="n"/>
      <c r="E86" s="765" t="n"/>
      <c r="F86" s="765" t="n"/>
    </row>
    <row r="87">
      <c r="A87" t="inlineStr">
        <is>
          <t>Description</t>
        </is>
      </c>
      <c r="B87" t="inlineStr">
        <is>
          <t>Two hemispheres CNC-carved from thick glue-ups (split-blank style). Tongue slits CNC-cut or laser-cut into curved top shell.</t>
        </is>
      </c>
    </row>
    <row r="88">
      <c r="A88" t="inlineStr">
        <is>
          <t>Top Blank</t>
        </is>
      </c>
      <c r="B88" s="481">
        <f>B5+1</f>
        <v/>
      </c>
      <c r="C88" t="inlineStr">
        <is>
          <t>in square glue-up, min 4" thick</t>
        </is>
      </c>
    </row>
    <row r="89">
      <c r="A89" t="inlineStr">
        <is>
          <t>Bottom Blank</t>
        </is>
      </c>
      <c r="B89" s="481">
        <f>B5+1</f>
        <v/>
      </c>
      <c r="C89" t="inlineStr">
        <is>
          <t>in square glue-up, min 3" thick</t>
        </is>
      </c>
    </row>
    <row r="90">
      <c r="A90" t="inlineStr">
        <is>
          <t>CNC Strategy</t>
        </is>
      </c>
      <c r="B90" t="inlineStr">
        <is>
          <t>3D surfacing: 3/4" ball-end for exterior convex, flip-jig with datum pins for interior concave</t>
        </is>
      </c>
    </row>
    <row r="91">
      <c r="A91" t="inlineStr">
        <is>
          <t>Tongue Cutting</t>
        </is>
      </c>
      <c r="B91" t="inlineStr">
        <is>
          <t>CNC with 1/8" upcut spiral on curved surface; OR laser-cut after flattening (experimental)</t>
        </is>
      </c>
    </row>
    <row r="92">
      <c r="A92" t="inlineStr">
        <is>
          <t>Wall Thickness</t>
        </is>
      </c>
      <c r="B92" s="564" t="inlineStr">
        <is>
          <t>3/8" at tongue fields; can taper thicker at rim for strength</t>
        </is>
      </c>
    </row>
    <row r="93">
      <c r="A93" t="inlineStr">
        <is>
          <t>Tuning Note</t>
        </is>
      </c>
      <c r="B93" t="inlineStr">
        <is>
          <t>Cantilever formula assumes FLAT beam. Curved tongues vibrate differently — expect empirical tuning (file to pitch)</t>
        </is>
      </c>
    </row>
    <row r="94">
      <c r="A94" t="inlineStr">
        <is>
          <t>Pros</t>
        </is>
      </c>
      <c r="B94" t="inlineStr">
        <is>
          <t>Closest to steel tongue drum appearance; fully enclosed sphere; most visually striking</t>
        </is>
      </c>
    </row>
    <row r="95">
      <c r="A95" t="inlineStr">
        <is>
          <t>Cons</t>
        </is>
      </c>
      <c r="B95" t="inlineStr">
        <is>
          <t>MOST challenging: curved tongue physics are unpredictable; massive CNC time (3D surfacing both sides); waste material</t>
        </is>
      </c>
    </row>
    <row r="96">
      <c r="A96" t="inlineStr">
        <is>
          <t>Tools</t>
        </is>
      </c>
      <c r="B96" t="inlineStr">
        <is>
          <t>CNC router (3D surfacing + flip jig + tongue slits), jointer/planer (glue-up prep), flexible epoxy (join halves)</t>
        </is>
      </c>
    </row>
    <row r="97">
      <c r="A97" t="inlineStr">
        <is>
          <t>Risk Level</t>
        </is>
      </c>
      <c r="B97" s="756" t="inlineStr">
        <is>
          <t>⚠️ HIGH — Prototype first. Use cheap wood (poplar) for initial test. Tuning will require extensive filing.</t>
        </is>
      </c>
    </row>
    <row r="99" ht="15" customHeight="1" s="817">
      <c r="A99" s="747" t="inlineStr">
        <is>
          <t>CONCEPT COMPARISON</t>
        </is>
      </c>
      <c r="B99" s="748" t="n"/>
      <c r="C99" s="748" t="n"/>
      <c r="D99" s="748" t="n"/>
      <c r="E99" s="748" t="n"/>
    </row>
    <row r="100">
      <c r="A100" s="768" t="n"/>
      <c r="B100" s="768" t="inlineStr">
        <is>
          <t>A: Segmented</t>
        </is>
      </c>
      <c r="C100" s="768" t="inlineStr">
        <is>
          <t>B: Stave</t>
        </is>
      </c>
      <c r="D100" s="768" t="inlineStr">
        <is>
          <t>C: CNC Sphere</t>
        </is>
      </c>
    </row>
    <row r="101">
      <c r="A101" t="inlineStr">
        <is>
          <t>Difficulty</t>
        </is>
      </c>
      <c r="B101" t="inlineStr">
        <is>
          <t>★★☆ (proven)</t>
        </is>
      </c>
      <c r="C101" t="inlineStr">
        <is>
          <t>★★☆ (moderate)</t>
        </is>
      </c>
      <c r="D101" t="inlineStr">
        <is>
          <t>★★★ (experimental)</t>
        </is>
      </c>
    </row>
    <row r="102">
      <c r="A102" t="inlineStr">
        <is>
          <t>Piece Count</t>
        </is>
      </c>
      <c r="B102" t="inlineStr">
        <is>
          <t>96 segments + 1 disc</t>
        </is>
      </c>
      <c r="C102" t="inlineStr">
        <is>
          <t>16 staves + 1 disc</t>
        </is>
      </c>
      <c r="D102" t="inlineStr">
        <is>
          <t>2 blanks (glue-ups)</t>
        </is>
      </c>
    </row>
    <row r="103">
      <c r="A103" t="inlineStr">
        <is>
          <t>Lathe Required?</t>
        </is>
      </c>
      <c r="B103" t="inlineStr">
        <is>
          <t>Yes (exterior)</t>
        </is>
      </c>
      <c r="C103" t="inlineStr">
        <is>
          <t>Yes (exterior)</t>
        </is>
      </c>
      <c r="D103" t="inlineStr">
        <is>
          <t>No (CNC only)</t>
        </is>
      </c>
    </row>
    <row r="104">
      <c r="A104" t="inlineStr">
        <is>
          <t>CNC Required?</t>
        </is>
      </c>
      <c r="B104" t="inlineStr">
        <is>
          <t>Yes (tongue slits)</t>
        </is>
      </c>
      <c r="C104" t="inlineStr">
        <is>
          <t>Yes (tongue slits)</t>
        </is>
      </c>
      <c r="D104" t="inlineStr">
        <is>
          <t>Yes (everything)</t>
        </is>
      </c>
    </row>
    <row r="105">
      <c r="A105" t="inlineStr">
        <is>
          <t>Tuning Reliability</t>
        </is>
      </c>
      <c r="B105" t="inlineStr">
        <is>
          <t>High (flat cantilever)</t>
        </is>
      </c>
      <c r="C105" t="inlineStr">
        <is>
          <t>High (flat cantilever)</t>
        </is>
      </c>
      <c r="D105" t="inlineStr">
        <is>
          <t>Low (curved — empirical)</t>
        </is>
      </c>
    </row>
    <row r="106">
      <c r="A106" t="inlineStr">
        <is>
          <t>Est. Material Cost</t>
        </is>
      </c>
      <c r="B106" t="inlineStr">
        <is>
          <t>$40-80</t>
        </is>
      </c>
      <c r="C106" t="inlineStr">
        <is>
          <t>$30-60</t>
        </is>
      </c>
      <c r="D106" t="inlineStr">
        <is>
          <t>$60-120</t>
        </is>
      </c>
    </row>
    <row r="107">
      <c r="A107" t="inlineStr">
        <is>
          <t>Build Time</t>
        </is>
      </c>
      <c r="B107" t="inlineStr">
        <is>
          <t>12-16 hours</t>
        </is>
      </c>
      <c r="C107" t="inlineStr">
        <is>
          <t>8-12 hours</t>
        </is>
      </c>
      <c r="D107" t="inlineStr">
        <is>
          <t>20-30 hours</t>
        </is>
      </c>
    </row>
    <row r="108">
      <c r="A108" t="inlineStr">
        <is>
          <t>Visual Impact</t>
        </is>
      </c>
      <c r="B108" t="inlineStr">
        <is>
          <t>Beautiful patterns</t>
        </is>
      </c>
      <c r="C108" t="inlineStr">
        <is>
          <t>Clean grain</t>
        </is>
      </c>
      <c r="D108" t="inlineStr">
        <is>
          <t>Most striking</t>
        </is>
      </c>
    </row>
    <row r="109">
      <c r="A109" t="inlineStr">
        <is>
          <t>Recommendation</t>
        </is>
      </c>
      <c r="B109" s="770" t="inlineStr">
        <is>
          <t>⭐ Start here</t>
        </is>
      </c>
      <c r="C109" t="inlineStr">
        <is>
          <t>Great 2nd build</t>
        </is>
      </c>
      <c r="D109" t="inlineStr">
        <is>
          <t>Ambitious prototype</t>
        </is>
      </c>
    </row>
    <row r="111" ht="15" customHeight="1" s="817">
      <c r="A111" s="751" t="inlineStr">
        <is>
          <t>DESIGN NOTES</t>
        </is>
      </c>
      <c r="B111" s="752" t="n"/>
      <c r="C111" s="752" t="n"/>
      <c r="D111" s="752" t="n"/>
    </row>
    <row r="112">
      <c r="A112" t="inlineStr">
        <is>
          <t>1. Wood tongue drums need D4+ Ding on 12-14" shells. D3 Ding requires 16"+ shell or impractically thick soundboard.</t>
        </is>
      </c>
    </row>
    <row r="113">
      <c r="A113" t="inlineStr">
        <is>
          <t>2. Thicker soundboard = LONGER tongues (L grows with sqrt of t). Use thinner board with higher-K wood for compact design.</t>
        </is>
      </c>
    </row>
    <row r="114">
      <c r="A114" t="inlineStr">
        <is>
          <t>3. The enclosed bowl adds Helmholtz resonance your rectangular box tongue drums don't have — expect noticeably more sustain and bass warmth.</t>
        </is>
      </c>
    </row>
    <row r="115">
      <c r="A115" t="inlineStr">
        <is>
          <t>4. For Concepts A &amp; B, the soundboard-to-bowl joint is critical. Use tight-fitting rabbet joint + wood glue for best acoustic transfer.</t>
        </is>
      </c>
    </row>
    <row r="116">
      <c r="A116" t="inlineStr">
        <is>
          <t>5. CNC tongue slit layout: use same radial pattern as steel tongue drums (zigzag ascending). Program in SolidWorks parametric table.</t>
        </is>
      </c>
    </row>
    <row r="117">
      <c r="A117" t="inlineStr">
        <is>
          <t>6. Gu port: drill through thickest part of bowl bottom. Fit with rubber O-ring (same as Handpan sheet).</t>
        </is>
      </c>
    </row>
    <row r="118">
      <c r="A118" t="inlineStr">
        <is>
          <t>7. Concept C: If curved tongues don't produce reliable pitches, consider hybrid — CNC sphere with a FLAT inset panel for tongues.</t>
        </is>
      </c>
    </row>
    <row r="119">
      <c r="A119" t="inlineStr">
        <is>
          <t>8. The bowl acts as a parabolic reflector — sound projects upward through the tongue slits. Player hears clear attack; audience hears full resonance.</t>
        </is>
      </c>
    </row>
    <row r="120">
      <c r="A120" t="inlineStr">
        <is>
          <t>9. Weight: segmented bowl ~3-5 lbs + soundboard ~1 lb = total 4-6 lbs. Stave = lighter. CNC sphere = heaviest.</t>
        </is>
      </c>
    </row>
    <row r="121">
      <c r="A121" t="inlineStr">
        <is>
          <t>10. This is an ORIGINAL DESIGN — no commercial wood shell tongue drums exist at this level. Document everything for your portfolio.</t>
        </is>
      </c>
    </row>
    <row r="124" ht="18" customHeight="1" s="817">
      <c r="A124" s="802" t="inlineStr">
        <is>
          <t>WOLFRAM CLOUD NOTEBOOK SPEC — WOOD SHELL TONGUE DRUM</t>
        </is>
      </c>
    </row>
    <row r="125">
      <c r="A125" s="734" t="inlineStr">
        <is>
          <t>Hybrid: wooden cylindrical shell + steel tongue plate top — combines wood resonance with steel tongue clarity.</t>
        </is>
      </c>
    </row>
    <row r="127">
      <c r="A127" s="609" t="inlineStr">
        <is>
          <t>§1 — Origin &amp; Etymology</t>
        </is>
      </c>
    </row>
    <row r="128">
      <c r="A128" t="inlineStr">
        <is>
          <t>Hybrid design: combines steel tongue drum (Hapi-style, ~2007) with stave-built wooden shell. Original/contemporary maker scene.</t>
        </is>
      </c>
    </row>
    <row r="129">
      <c r="A129" t="inlineStr">
        <is>
          <t>Wolfram items: TimelinePlot[{ancient log drums, 2007 Hapi, 2010s artisan hybrids}].</t>
        </is>
      </c>
    </row>
    <row r="131">
      <c r="A131" s="609" t="inlineStr">
        <is>
          <t>§2 — Physics</t>
        </is>
      </c>
    </row>
    <row r="132">
      <c r="A132" t="inlineStr">
        <is>
          <t>Tongues: steel cantilever, f = K·t/L² with K_steel &gt;&gt; K_wood (steel ~6× higher K). Shorter tongues for same pitch as wood.</t>
        </is>
      </c>
    </row>
    <row r="133">
      <c r="A133" t="inlineStr">
        <is>
          <t>Wood shell: resonant cylinder + Helmholtz cavity. Adds warmth, sustain, bass.</t>
        </is>
      </c>
    </row>
    <row r="134">
      <c r="A134" t="inlineStr">
        <is>
          <t>Coupling between steel tongue and wood shell: steel modes drive shell modes through clamped boundary.</t>
        </is>
      </c>
    </row>
    <row r="135">
      <c r="A135" t="inlineStr">
        <is>
          <t>Wolfram functions: NDEigensystem cantilever steel; NDSolve cylinder modes; cross-spectrum analysis.</t>
        </is>
      </c>
    </row>
    <row r="137">
      <c r="A137" s="609" t="inlineStr">
        <is>
          <t>§3 — Geometry &amp; Construction</t>
        </is>
      </c>
    </row>
    <row r="138">
      <c r="A138" t="inlineStr">
        <is>
          <t>Shell: stave-built or segmented cylinder (similar to ashiko/conga construction but smaller).</t>
        </is>
      </c>
    </row>
    <row r="139">
      <c r="A139" t="inlineStr">
        <is>
          <t>Steel top plate with cut tongues bolted/glued onto shell. Plate steel ~2–3 mm thick.</t>
        </is>
      </c>
    </row>
    <row r="140">
      <c r="A140" t="inlineStr">
        <is>
          <t>Wolfram items: Manipulate plate thickness + tongue lengths + shell dims → frequencies.</t>
        </is>
      </c>
    </row>
    <row r="142">
      <c r="A142" s="609" t="inlineStr">
        <is>
          <t>§4 — Animations</t>
        </is>
      </c>
    </row>
    <row r="143">
      <c r="A143" t="inlineStr">
        <is>
          <t>Tongue mode Animate on flat steel plate.</t>
        </is>
      </c>
    </row>
    <row r="144">
      <c r="A144" t="inlineStr">
        <is>
          <t>Shell-cavity coupling visualization: see how plate vibration drives air column inside shell.</t>
        </is>
      </c>
    </row>
    <row r="146">
      <c r="A146" s="609" t="inlineStr">
        <is>
          <t>§5 — Executable Cells</t>
        </is>
      </c>
    </row>
    <row r="147">
      <c r="A147" t="inlineStr">
        <is>
          <t>kSteel := (1.875^2/(2 π)) Sqrt[200 10^9 /(12·7850)] / 0.0254</t>
        </is>
      </c>
    </row>
    <row r="148">
      <c r="A148" t="inlineStr">
        <is>
          <t>fTongueSteel[t_,L_]:=kSteel t / L^2</t>
        </is>
      </c>
    </row>
    <row r="149">
      <c r="A149" t="inlineStr">
        <is>
          <t>fShellHelm[A_,V_,Lneck_]:=(c/(2 π)) Sqrt[A/(V Lneck)]</t>
        </is>
      </c>
    </row>
    <row r="151">
      <c r="A151" s="609" t="inlineStr">
        <is>
          <t>§6 — Wolfram Functions</t>
        </is>
      </c>
    </row>
    <row r="152">
      <c r="A152" t="inlineStr">
        <is>
          <t>NDEigensystem, NDSolve, Manipulate, Animate, Periodogram, CloudDeploy, FormFunction.</t>
        </is>
      </c>
    </row>
    <row r="158" ht="18" customHeight="1" s="817">
      <c r="A158" s="807" t="inlineStr">
        <is>
          <t>WOLFRAM EXPLORATIONS — WOOD SHELL TONGUE DRUM</t>
        </is>
      </c>
    </row>
    <row r="159">
      <c r="A159" s="734" t="inlineStr">
        <is>
          <t>Roadmap-inspired notebook ideas mapped to this instrument.</t>
        </is>
      </c>
    </row>
    <row r="161">
      <c r="A161" s="808" t="inlineStr">
        <is>
          <t>Coupled physics</t>
        </is>
      </c>
    </row>
    <row r="162">
      <c r="A162" s="811" t="inlineStr">
        <is>
          <t>→ Helmholtz + Tongue Coupling + Shell Modes (roadmap)</t>
        </is>
      </c>
    </row>
    <row r="163">
      <c r="A163" t="inlineStr">
        <is>
          <t>3-DOF coupled oscillator: steel tongue + wood shell + air cavity. Eigenvalue split shows how the wood shell adds a third mode that boosts sustain.</t>
        </is>
      </c>
    </row>
    <row r="164">
      <c r="A164" t="inlineStr">
        <is>
          <t>Compare to all-steel tongue drum (Steel Tongue Drum sheet) — same scale, different shell material; which is more sustained?</t>
        </is>
      </c>
    </row>
    <row r="166">
      <c r="A166" s="808" t="inlineStr">
        <is>
          <t>Design optimization</t>
        </is>
      </c>
    </row>
    <row r="167">
      <c r="A167" s="811" t="inlineStr">
        <is>
          <t>→ Optimal Shell Size Finder (roadmap: NMinimize)</t>
        </is>
      </c>
    </row>
    <row r="168">
      <c r="A168" t="inlineStr">
        <is>
          <t>Given pentatonic scale + steel plate K, find min shell diameter that fits all tongues + leaves room for bolt pattern.</t>
        </is>
      </c>
    </row>
    <row r="170">
      <c r="A170" s="808" t="inlineStr">
        <is>
          <t>Sound synthesis</t>
        </is>
      </c>
    </row>
    <row r="171">
      <c r="A171" t="inlineStr">
        <is>
          <t>AudioGenerator: synthesize wood-shelled vs steel-shelled vs ceramic-shelled tongue drums for the same scale; spectrogram comparison.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2026-05-01T02:02:13Z</dcterms:created>
  <dcterms:modified xmlns:dcterms="http://purl.org/dc/terms/" xmlns:xsi="http://www.w3.org/2001/XMLSchema-instance" xsi:type="dcterms:W3CDTF">2026-05-02T18:58:15Z</dcterms:modified>
  <cp:lastModifiedBy>Tony Koop</cp:lastModifiedBy>
</cp:coreProperties>
</file>