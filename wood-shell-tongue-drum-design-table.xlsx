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7840" windowHeight="31920" tabRatio="600" firstSheet="41" activeTab="0" autoFilterDateGrouping="1"/>
  </bookViews>
  <sheets>
    <sheet xmlns:r="http://schemas.openxmlformats.org/officeDocument/2006/relationships" name="Wood Shell Tongue Drum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2">
    <numFmt numFmtId="164" formatCode="0.0"/>
    <numFmt numFmtId="165" formatCode="0.000"/>
    <numFmt numFmtId="166" formatCode="#,##0.000"/>
    <numFmt numFmtId="167" formatCode="0.0000"/>
    <numFmt numFmtId="168" formatCode="&quot;$&quot;#,##0.00"/>
    <numFmt numFmtId="169" formatCode="m/d"/>
    <numFmt numFmtId="170" formatCode="m/d/yy"/>
    <numFmt numFmtId="171" formatCode="#\ ##/##"/>
    <numFmt numFmtId="172" formatCode="#\ ###/###"/>
    <numFmt numFmtId="173" formatCode="0.000000"/>
    <numFmt numFmtId="174" formatCode="\+0.000;\-0.000;0.000"/>
    <numFmt numFmtId="175" formatCode="\+0.0%;\-0.0%;0.0%"/>
    <numFmt numFmtId="176" formatCode="\+0.0;\-0.0;&quot;0.0&quot;"/>
    <numFmt numFmtId="177" formatCode="\+0.00;\-0.00;&quot;0.00&quot;"/>
    <numFmt numFmtId="178" formatCode="0.00000"/>
    <numFmt numFmtId="179" formatCode="0.0%"/>
    <numFmt numFmtId="180" formatCode="#,##0.0"/>
    <numFmt numFmtId="181" formatCode="0.0&quot;%&quot;"/>
    <numFmt numFmtId="182" formatCode="0.0&quot;°&quot;"/>
    <numFmt numFmtId="183" formatCode="0.00&quot;°&quot;"/>
    <numFmt numFmtId="184" formatCode="0.000&quot;&quot;"/>
    <numFmt numFmtId="185" formatCode="0.0&quot;&quot;"/>
  </numFmts>
  <fonts count="95">
    <font>
      <name val="Arial"/>
      <color rgb="FF000000"/>
      <sz val="10"/>
    </font>
    <font>
      <name val="Arial"/>
      <b val="1"/>
      <sz val="10"/>
    </font>
    <font>
      <name val="Arial"/>
      <sz val="10"/>
    </font>
    <font>
      <name val="Arial"/>
      <sz val="10"/>
    </font>
    <font>
      <name val="Arial"/>
      <sz val="10"/>
    </font>
    <font>
      <name val="Arial"/>
      <color rgb="FF1155CC"/>
      <sz val="10"/>
      <u val="single"/>
    </font>
    <font>
      <name val="Arial"/>
      <color rgb="FF0000FF"/>
      <sz val="10"/>
      <u val="single"/>
    </font>
    <font>
      <name val="Arial"/>
      <b val="1"/>
      <sz val="10"/>
    </font>
    <font>
      <name val="Inconsolata"/>
      <sz val="10"/>
    </font>
    <font>
      <name val="Arial"/>
      <b val="1"/>
      <color rgb="FFFFFFFF"/>
      <sz val="10"/>
    </font>
    <font>
      <name val="Arial"/>
      <color rgb="FFFFFFFF"/>
      <sz val="10"/>
    </font>
    <font>
      <name val="Arial"/>
      <b val="1"/>
      <color rgb="FF000000"/>
      <sz val="10"/>
    </font>
    <font>
      <name val="Arial"/>
      <b val="1"/>
      <color rgb="FF000000"/>
      <sz val="14"/>
    </font>
    <font>
      <name val="Arial"/>
      <color rgb="FFC0C0C0"/>
      <sz val="10"/>
    </font>
    <font>
      <name val="Arial"/>
      <i val="1"/>
      <color rgb="FFC0C0C0"/>
      <sz val="10"/>
    </font>
    <font>
      <name val="Arial"/>
      <color rgb="FF969696"/>
      <sz val="10"/>
    </font>
    <font>
      <name val="Arial"/>
      <b val="1"/>
      <color rgb="FF969696"/>
      <sz val="10"/>
    </font>
    <font>
      <name val="Arial"/>
      <b val="1"/>
      <color rgb="FF993366"/>
      <sz val="10"/>
    </font>
    <font>
      <name val="Arial"/>
      <color rgb="FF993366"/>
      <sz val="10"/>
    </font>
    <font>
      <name val="Arial"/>
      <color rgb="FF000000"/>
      <sz val="10"/>
    </font>
    <font>
      <name val="Arial"/>
      <color rgb="FF0000FF"/>
      <sz val="10"/>
    </font>
    <font>
      <name val="Arial"/>
      <b val="1"/>
      <color rgb="FF0000FF"/>
      <sz val="10"/>
    </font>
    <font>
      <name val="Arial"/>
      <color rgb="FF666666"/>
      <sz val="10"/>
    </font>
    <font>
      <name val="Arial"/>
      <i val="1"/>
      <color rgb="FF666666"/>
      <sz val="10"/>
    </font>
    <font>
      <name val="Arial"/>
      <b val="1"/>
      <color rgb="FFFFFFFF"/>
      <sz val="12"/>
    </font>
    <font>
      <name val="Arial"/>
      <b val="1"/>
      <color rgb="FF000000"/>
      <sz val="11"/>
    </font>
    <font>
      <name val="Arial"/>
      <i val="1"/>
      <color rgb="FF666666"/>
      <sz val="9"/>
    </font>
    <font>
      <name val="Arial"/>
      <color rgb="FF006400"/>
      <sz val="10"/>
    </font>
    <font>
      <name val="Arial"/>
      <b val="1"/>
      <color rgb="FF006400"/>
      <sz val="10"/>
    </font>
    <font>
      <name val="Arial"/>
      <color rgb="FFCC0000"/>
      <sz val="10"/>
    </font>
    <font>
      <name val="Arial"/>
      <color rgb="FF333333"/>
      <sz val="9"/>
    </font>
    <font>
      <name val="Arial"/>
      <b val="1"/>
      <color rgb="FF1F4E79"/>
      <sz val="14"/>
    </font>
    <font>
      <name val="Arial"/>
      <color rgb="FF1F4E79"/>
      <sz val="10"/>
    </font>
    <font>
      <name val="Arial"/>
      <b val="1"/>
      <color rgb="FF1F4E79"/>
      <sz val="12"/>
    </font>
    <font>
      <name val="Arial"/>
      <b val="1"/>
      <color rgb="FF1F4E79"/>
      <sz val="10"/>
    </font>
    <font>
      <name val="Arial"/>
      <b val="1"/>
      <color rgb="FF000000"/>
      <sz val="12"/>
    </font>
    <font>
      <name val="Arial"/>
      <b val="1"/>
      <i val="1"/>
      <color rgb="FF666666"/>
      <sz val="10"/>
    </font>
    <font>
      <name val="Arial"/>
      <color rgb="FF999999"/>
      <sz val="10"/>
    </font>
    <font>
      <name val="Arial"/>
      <i val="1"/>
      <color rgb="FF999999"/>
      <sz val="9"/>
    </font>
    <font>
      <name val="Arial"/>
      <color rgb="FF2E75B6"/>
      <sz val="10"/>
    </font>
    <font>
      <name val="Arial"/>
      <b val="1"/>
      <color rgb="FF2E75B6"/>
      <sz val="10"/>
    </font>
    <font>
      <name val="Arial"/>
      <color rgb="FF5B9BD5"/>
      <sz val="10"/>
    </font>
    <font>
      <name val="Arial"/>
      <b val="1"/>
      <color rgb="FF5B9BD5"/>
      <sz val="10"/>
    </font>
    <font>
      <name val="Arial"/>
      <color rgb="FF9DC3E6"/>
      <sz val="10"/>
    </font>
    <font>
      <name val="Arial"/>
      <b val="1"/>
      <color rgb="FF9DC3E6"/>
      <sz val="10"/>
    </font>
    <font>
      <name val="Arial"/>
      <b val="1"/>
      <i val="1"/>
      <color rgb="FF1F4E79"/>
      <sz val="9"/>
    </font>
    <font>
      <name val="Arial"/>
      <i val="1"/>
      <color rgb="FF000000"/>
      <sz val="10"/>
    </font>
    <font>
      <name val="Arial"/>
      <color rgb="FF000000"/>
      <sz val="9"/>
    </font>
    <font>
      <name val="Arial"/>
      <b val="1"/>
      <color rgb="FFCC4125"/>
      <sz val="10"/>
    </font>
    <font>
      <name val="Arial"/>
      <b val="1"/>
      <i val="1"/>
      <color rgb="FF999999"/>
      <sz val="9"/>
    </font>
    <font>
      <name val="Arial"/>
      <b val="1"/>
      <color rgb="FF990000"/>
      <sz val="10"/>
    </font>
    <font>
      <name val="Arial"/>
      <b val="1"/>
      <color rgb="FF000000"/>
      <sz val="9"/>
    </font>
    <font>
      <name val="Arial"/>
      <b val="1"/>
      <color rgb="FFCC0000"/>
      <sz val="10"/>
    </font>
    <font>
      <name val="Arial"/>
      <i val="1"/>
      <color rgb="FF999999"/>
      <sz val="10"/>
    </font>
    <font>
      <name val="Arial"/>
      <color rgb="FF0000CC"/>
      <sz val="10"/>
    </font>
    <font>
      <name val="Arial"/>
      <b val="1"/>
      <color rgb="FF0000CC"/>
      <sz val="10"/>
    </font>
    <font>
      <name val="Arial"/>
      <i val="1"/>
      <color rgb="FF0000FF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b val="1"/>
      <color rgb="FF999999"/>
      <sz val="9"/>
    </font>
    <font>
      <name val="Arial"/>
      <b val="1"/>
      <color rgb="FFCC0000"/>
      <sz val="9"/>
    </font>
    <font>
      <name val="Arial"/>
      <color rgb="FFCC0000"/>
      <sz val="9"/>
    </font>
    <font>
      <name val="Arial"/>
      <b val="1"/>
      <i val="1"/>
      <color rgb="FF666666"/>
      <sz val="9"/>
    </font>
    <font>
      <name val="Arial"/>
      <b val="1"/>
      <color rgb="FF000000"/>
      <sz val="16"/>
    </font>
    <font>
      <name val="Arial"/>
      <color rgb="FF555555"/>
      <sz val="10"/>
    </font>
    <font>
      <name val="Arial"/>
      <i val="1"/>
      <color rgb="FF555555"/>
      <sz val="10"/>
    </font>
    <font>
      <name val="Arial"/>
      <b val="1"/>
      <color rgb="FFFFFFFF"/>
      <sz val="11"/>
    </font>
    <font>
      <name val="Arial"/>
      <color rgb="FF008000"/>
      <sz val="10"/>
    </font>
    <font>
      <name val="Arial"/>
      <color rgb="FFFF0000"/>
      <sz val="10"/>
    </font>
    <font>
      <name val="Arial"/>
      <b val="1"/>
      <color rgb="FFFF0000"/>
      <sz val="10"/>
    </font>
    <font>
      <name val="Arial"/>
      <b val="1"/>
      <color rgb="FF555555"/>
      <sz val="10"/>
    </font>
    <font>
      <name val="Arial"/>
      <b val="1"/>
      <i val="1"/>
      <color rgb="FF555555"/>
      <sz val="10"/>
    </font>
    <font>
      <name val="Arial"/>
      <i val="1"/>
      <color rgb="FFFF0000"/>
      <sz val="10"/>
    </font>
    <font>
      <name val="Arial"/>
      <color rgb="FFFF8C00"/>
      <sz val="10"/>
    </font>
    <font>
      <name val="Arial"/>
      <i val="1"/>
      <color rgb="FF888888"/>
      <sz val="9"/>
    </font>
    <font>
      <name val="Arial"/>
      <b val="1"/>
      <color rgb="FF333333"/>
      <sz val="10"/>
    </font>
    <font>
      <name val="Arial"/>
      <b val="1"/>
      <color rgb="FF006600"/>
      <sz val="10"/>
    </font>
    <font>
      <name val="Arial"/>
      <b val="1"/>
      <i val="1"/>
      <color rgb="FFFFFFFF"/>
      <sz val="11"/>
    </font>
    <font>
      <name val="Arial"/>
      <i val="1"/>
      <color rgb="FF008000"/>
      <sz val="10"/>
    </font>
    <font>
      <name val="Arial"/>
      <b val="1"/>
      <i val="1"/>
      <color rgb="FF008000"/>
      <sz val="10"/>
    </font>
    <font>
      <name val="Arial"/>
      <i val="1"/>
      <color rgb="FF7030A0"/>
      <sz val="10"/>
    </font>
    <font>
      <name val="Arial"/>
      <i val="1"/>
      <color rgb="FF548235"/>
      <sz val="10"/>
    </font>
    <font>
      <name val="Consolas"/>
      <color rgb="FF000000"/>
      <sz val="9"/>
    </font>
    <font>
      <name val="Consolas"/>
      <i val="1"/>
      <color rgb="FF4472C4"/>
      <sz val="9"/>
    </font>
    <font>
      <name val="Consolas"/>
      <b val="1"/>
      <color rgb="FFFFFFFF"/>
      <sz val="11"/>
    </font>
    <font>
      <name val="Arial"/>
      <b val="1"/>
      <color rgb="FFFFFFFF"/>
      <sz val="14"/>
    </font>
    <font>
      <name val="Arial"/>
      <i val="1"/>
      <color rgb="FF5C2D91"/>
      <sz val="10"/>
    </font>
    <font>
      <name val="Arial"/>
      <b val="1"/>
      <i val="1"/>
      <color rgb="FF5C2D91"/>
      <sz val="10"/>
    </font>
    <font>
      <name val="Arial"/>
      <b val="1"/>
      <i val="1"/>
      <color rgb="FFFFFFFF"/>
      <sz val="14"/>
    </font>
    <font>
      <name val="Arial"/>
      <family val="2"/>
      <color rgb="FF000000"/>
      <sz val="12"/>
    </font>
    <font>
      <b val="1"/>
      <color rgb="000F1922"/>
      <sz val="13"/>
    </font>
    <font>
      <i val="1"/>
      <color rgb="003F4A55"/>
    </font>
    <font>
      <b val="1"/>
      <sz val="11"/>
    </font>
    <font>
      <b val="1"/>
    </font>
    <font>
      <color rgb="000000FF"/>
    </font>
  </fonts>
  <fills count="93">
    <fill>
      <patternFill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6FA8DC"/>
        <bgColor rgb="FF6FA8DC"/>
      </patternFill>
    </fill>
    <fill>
      <patternFill patternType="solid">
        <fgColor rgb="FFD5A6BD"/>
        <bgColor rgb="FFD5A6BD"/>
      </patternFill>
    </fill>
    <fill>
      <patternFill patternType="solid">
        <fgColor rgb="FF93C47D"/>
        <bgColor rgb="FF93C47D"/>
      </patternFill>
    </fill>
    <fill>
      <patternFill patternType="solid">
        <fgColor rgb="FFC0C0C0"/>
        <bgColor rgb="FFC0C0C0"/>
      </patternFill>
    </fill>
    <fill>
      <patternFill patternType="solid">
        <fgColor rgb="FFFFD966"/>
        <bgColor rgb="FFFFD966"/>
      </patternFill>
    </fill>
    <fill>
      <patternFill patternType="solid">
        <fgColor rgb="FFCC99FF"/>
        <bgColor rgb="FFCC99FF"/>
      </patternFill>
    </fill>
    <fill>
      <patternFill patternType="solid">
        <fgColor rgb="FFF6B26B"/>
        <bgColor rgb="FFF6B26B"/>
      </patternFill>
    </fill>
    <fill>
      <patternFill patternType="solid">
        <fgColor rgb="FFCCFFFF"/>
        <bgColor rgb="FFCCFFFF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6AA84F"/>
        <bgColor rgb="FF6AA84F"/>
      </patternFill>
    </fill>
    <fill>
      <patternFill patternType="solid">
        <fgColor rgb="FFFCF305"/>
        <bgColor rgb="FFFCF305"/>
      </patternFill>
    </fill>
    <fill>
      <patternFill patternType="solid">
        <fgColor rgb="FFC9DAF8"/>
        <bgColor rgb="FFC9DAF8"/>
      </patternFill>
    </fill>
    <fill>
      <patternFill patternType="solid">
        <fgColor rgb="FFC27BA0"/>
        <bgColor rgb="FFC27BA0"/>
      </patternFill>
    </fill>
    <fill>
      <patternFill patternType="solid">
        <fgColor rgb="FFA64D79"/>
        <bgColor rgb="FFA64D79"/>
      </patternFill>
    </fill>
    <fill>
      <patternFill patternType="solid">
        <fgColor rgb="FF38761D"/>
        <bgColor rgb="FF38761D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BF9000"/>
        <bgColor rgb="FFBF9000"/>
      </patternFill>
    </fill>
    <fill>
      <patternFill patternType="solid">
        <fgColor rgb="FFFFFF00"/>
        <bgColor rgb="FFFFFF00"/>
      </patternFill>
    </fill>
    <fill>
      <patternFill patternType="solid">
        <fgColor rgb="FF1FB714"/>
        <bgColor rgb="FF1FB714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76A5AF"/>
        <bgColor rgb="FF76A5AF"/>
      </patternFill>
    </fill>
    <fill>
      <patternFill patternType="solid">
        <fgColor rgb="FF6D9EEB"/>
        <bgColor rgb="FF6D9EEB"/>
      </patternFill>
    </fill>
    <fill>
      <patternFill patternType="solid">
        <fgColor rgb="FFCC4125"/>
        <bgColor rgb="FFCC4125"/>
      </patternFill>
    </fill>
    <fill>
      <patternFill patternType="solid">
        <fgColor rgb="FFE06666"/>
        <bgColor rgb="FFE06666"/>
      </patternFill>
    </fill>
    <fill>
      <patternFill patternType="solid">
        <fgColor rgb="FFD9EAD3"/>
        <bgColor rgb="FFD9EAD3"/>
      </patternFill>
    </fill>
    <fill>
      <patternFill patternType="solid">
        <fgColor rgb="FFFFCC99"/>
        <bgColor rgb="FFFFCC99"/>
      </patternFill>
    </fill>
    <fill>
      <patternFill patternType="solid">
        <fgColor rgb="FF000090"/>
        <bgColor rgb="FF000090"/>
      </patternFill>
    </fill>
    <fill>
      <patternFill patternType="solid">
        <fgColor rgb="FF00CCFF"/>
        <bgColor rgb="FF00CCFF"/>
      </patternFill>
    </fill>
    <fill>
      <patternFill patternType="solid">
        <fgColor rgb="FFFFFF99"/>
        <bgColor rgb="FFFFFF99"/>
      </patternFill>
    </fill>
    <fill>
      <patternFill patternType="solid">
        <fgColor rgb="FFDD0806"/>
        <bgColor rgb="FFDD0806"/>
      </patternFill>
    </fill>
    <fill>
      <patternFill patternType="solid">
        <fgColor rgb="FF4600A5"/>
        <bgColor rgb="FF4600A5"/>
      </patternFill>
    </fill>
    <fill>
      <patternFill patternType="solid">
        <fgColor rgb="FF99CCFF"/>
        <bgColor rgb="FF99CCFF"/>
      </patternFill>
    </fill>
    <fill>
      <patternFill patternType="solid">
        <fgColor rgb="FF00ABEA"/>
        <bgColor rgb="FF00ABEA"/>
      </patternFill>
    </fill>
    <fill>
      <patternFill patternType="solid">
        <fgColor rgb="FF0000D4"/>
        <bgColor rgb="FF0000D4"/>
      </patternFill>
    </fill>
    <fill>
      <patternFill patternType="solid">
        <fgColor rgb="FF4A86E8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3C78D8"/>
        <bgColor rgb="FF3C78D8"/>
      </patternFill>
    </fill>
    <fill>
      <patternFill patternType="solid">
        <fgColor rgb="FF1C458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D5A6BD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E8D5E0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5E8D4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E8D5E8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6B8AF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555555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2D0F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E6D8C3"/>
        <bgColor indexed="64"/>
      </patternFill>
    </fill>
    <fill>
      <patternFill patternType="solid">
        <fgColor rgb="FF8B4513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1F3A5F"/>
        <bgColor indexed="64"/>
      </patternFill>
    </fill>
    <fill>
      <patternFill patternType="solid">
        <fgColor rgb="FF5C2D91"/>
        <bgColor indexed="64"/>
      </patternFill>
    </fill>
    <fill>
      <patternFill patternType="solid">
        <fgColor rgb="FFE5D6F2"/>
        <bgColor indexed="64"/>
      </patternFill>
    </fill>
    <fill>
      <patternFill patternType="solid">
        <fgColor rgb="00E8EDF2"/>
      </patternFill>
    </fill>
    <fill>
      <patternFill patternType="solid">
        <fgColor rgb="00D6E4F0"/>
      </patternFill>
    </fill>
    <fill>
      <patternFill patternType="solid">
        <fgColor rgb="00EEF1F5"/>
      </patternFill>
    </fill>
  </fills>
  <borders count="6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/>
      <bottom/>
      <diagonal/>
    </border>
    <border>
      <left/>
      <right/>
      <top/>
      <bottom/>
      <diagonal/>
    </border>
    <border>
      <left style="thin">
        <color rgb="FFAAAAAA"/>
      </left>
      <right/>
      <top/>
      <bottom style="thin">
        <color rgb="FFAAAAAA"/>
      </bottom>
      <diagonal/>
    </border>
    <border>
      <left/>
      <right/>
      <top/>
      <bottom style="thin">
        <color rgb="FFAAAAAA"/>
      </bottom>
      <diagonal/>
    </border>
    <border>
      <left/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/>
      <top/>
      <bottom/>
      <diagonal/>
    </border>
    <border>
      <left/>
      <right/>
      <top/>
      <bottom/>
      <diagonal/>
    </border>
    <border>
      <left style="thin">
        <color rgb="FFAAAAAA"/>
      </left>
      <right style="thin">
        <color rgb="FFAAAAAA"/>
      </right>
      <top/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/>
      <bottom style="thin">
        <color rgb="FFAAAAAA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rgb="FFAAAAAA"/>
      </right>
      <top/>
      <bottom/>
      <diagonal/>
    </border>
    <border>
      <left style="thin">
        <color rgb="009AA5B1"/>
      </left>
      <right style="thin">
        <color rgb="009AA5B1"/>
      </right>
      <top style="thin">
        <color rgb="009AA5B1"/>
      </top>
      <bottom style="thin">
        <color rgb="009AA5B1"/>
      </bottom>
    </border>
    <border>
      <left/>
      <right/>
      <top style="thin">
        <color rgb="009AA5B1"/>
      </top>
      <bottom/>
      <diagonal/>
    </border>
    <border>
      <left/>
      <right style="thin">
        <color rgb="009AA5B1"/>
      </right>
      <top style="thin">
        <color rgb="009AA5B1"/>
      </top>
      <bottom/>
      <diagonal/>
    </border>
    <border>
      <left/>
      <right/>
      <top style="thin">
        <color rgb="009AA5B1"/>
      </top>
      <bottom style="thin">
        <color rgb="009AA5B1"/>
      </bottom>
      <diagonal/>
    </border>
    <border>
      <left/>
      <right style="thin">
        <color rgb="009AA5B1"/>
      </right>
      <top style="thin">
        <color rgb="009AA5B1"/>
      </top>
      <bottom style="thin">
        <color rgb="009AA5B1"/>
      </bottom>
      <diagonal/>
    </border>
  </borders>
  <cellStyleXfs count="2">
    <xf numFmtId="0" fontId="19" fillId="0" borderId="26"/>
    <xf numFmtId="0" fontId="19" fillId="0" borderId="26"/>
  </cellStyleXfs>
  <cellXfs count="868">
    <xf numFmtId="0" fontId="0" fillId="0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1" fillId="3" borderId="3" pivotButton="0" quotePrefix="0" xfId="0"/>
    <xf numFmtId="0" fontId="1" fillId="4" borderId="4" applyAlignment="1" pivotButton="0" quotePrefix="0" xfId="0">
      <alignment horizontal="left"/>
    </xf>
    <xf numFmtId="0" fontId="1" fillId="5" borderId="4" applyAlignment="1" pivotButton="0" quotePrefix="0" xfId="0">
      <alignment horizontal="left"/>
    </xf>
    <xf numFmtId="0" fontId="1" fillId="6" borderId="4" applyAlignment="1" pivotButton="0" quotePrefix="0" xfId="0">
      <alignment horizontal="left"/>
    </xf>
    <xf numFmtId="0" fontId="1" fillId="7" borderId="4" applyAlignment="1" pivotButton="0" quotePrefix="0" xfId="0">
      <alignment horizontal="left"/>
    </xf>
    <xf numFmtId="0" fontId="1" fillId="8" borderId="4" applyAlignment="1" pivotButton="0" quotePrefix="0" xfId="0">
      <alignment horizontal="left"/>
    </xf>
    <xf numFmtId="0" fontId="1" fillId="9" borderId="4" applyAlignment="1" pivotButton="0" quotePrefix="0" xfId="0">
      <alignment horizontal="left"/>
    </xf>
    <xf numFmtId="0" fontId="1" fillId="10" borderId="4" applyAlignment="1" pivotButton="0" quotePrefix="0" xfId="0">
      <alignment horizontal="left"/>
    </xf>
    <xf numFmtId="0" fontId="1" fillId="11" borderId="4" applyAlignment="1" pivotButton="0" quotePrefix="0" xfId="0">
      <alignment horizontal="left"/>
    </xf>
    <xf numFmtId="0" fontId="1" fillId="11" borderId="5" applyAlignment="1" pivotButton="0" quotePrefix="0" xfId="0">
      <alignment horizontal="left"/>
    </xf>
    <xf numFmtId="0" fontId="1" fillId="3" borderId="0" applyAlignment="1" pivotButton="0" quotePrefix="0" xfId="0">
      <alignment horizontal="left"/>
    </xf>
    <xf numFmtId="0" fontId="2" fillId="2" borderId="2" applyAlignment="1" pivotButton="0" quotePrefix="0" xfId="0">
      <alignment horizontal="center" wrapText="1"/>
    </xf>
    <xf numFmtId="0" fontId="2" fillId="3" borderId="6" pivotButton="0" quotePrefix="0" xfId="0"/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left"/>
    </xf>
    <xf numFmtId="0" fontId="3" fillId="3" borderId="7" applyAlignment="1" pivotButton="0" quotePrefix="0" xfId="0">
      <alignment horizontal="left"/>
    </xf>
    <xf numFmtId="2" fontId="2" fillId="2" borderId="2" pivotButton="0" quotePrefix="0" xfId="0"/>
    <xf numFmtId="164" fontId="2" fillId="3" borderId="6" pivotButton="0" quotePrefix="0" xfId="0"/>
    <xf numFmtId="164" fontId="3" fillId="3" borderId="0" applyAlignment="1" pivotButton="0" quotePrefix="0" xfId="0">
      <alignment horizontal="left"/>
    </xf>
    <xf numFmtId="164" fontId="3" fillId="3" borderId="7" applyAlignment="1" pivotButton="0" quotePrefix="0" xfId="0">
      <alignment horizontal="left"/>
    </xf>
    <xf numFmtId="164" fontId="2" fillId="3" borderId="0" applyAlignment="1" pivotButton="0" quotePrefix="0" xfId="0">
      <alignment horizontal="left"/>
    </xf>
    <xf numFmtId="0" fontId="2" fillId="12" borderId="6" pivotButton="0" quotePrefix="0" xfId="0"/>
    <xf numFmtId="0" fontId="3" fillId="12" borderId="0" applyAlignment="1" pivotButton="0" quotePrefix="0" xfId="0">
      <alignment horizontal="left"/>
    </xf>
    <xf numFmtId="0" fontId="3" fillId="12" borderId="7" applyAlignment="1" pivotButton="0" quotePrefix="0" xfId="0">
      <alignment horizontal="left"/>
    </xf>
    <xf numFmtId="164" fontId="2" fillId="12" borderId="6" pivotButton="0" quotePrefix="0" xfId="0"/>
    <xf numFmtId="164" fontId="3" fillId="12" borderId="0" applyAlignment="1" pivotButton="0" quotePrefix="0" xfId="0">
      <alignment horizontal="left"/>
    </xf>
    <xf numFmtId="164" fontId="3" fillId="12" borderId="7" applyAlignment="1" pivotButton="0" quotePrefix="0" xfId="0">
      <alignment horizontal="left"/>
    </xf>
    <xf numFmtId="0" fontId="2" fillId="13" borderId="6" pivotButton="0" quotePrefix="0" xfId="0"/>
    <xf numFmtId="0" fontId="3" fillId="13" borderId="0" applyAlignment="1" pivotButton="0" quotePrefix="0" xfId="0">
      <alignment horizontal="left"/>
    </xf>
    <xf numFmtId="0" fontId="3" fillId="13" borderId="7" applyAlignment="1" pivotButton="0" quotePrefix="0" xfId="0">
      <alignment horizontal="left"/>
    </xf>
    <xf numFmtId="164" fontId="2" fillId="13" borderId="6" pivotButton="0" quotePrefix="0" xfId="0"/>
    <xf numFmtId="164" fontId="3" fillId="13" borderId="0" applyAlignment="1" pivotButton="0" quotePrefix="0" xfId="0">
      <alignment horizontal="left"/>
    </xf>
    <xf numFmtId="164" fontId="3" fillId="13" borderId="7" applyAlignment="1" pivotButton="0" quotePrefix="0" xfId="0">
      <alignment horizontal="left"/>
    </xf>
    <xf numFmtId="0" fontId="2" fillId="14" borderId="6" pivotButton="0" quotePrefix="0" xfId="0"/>
    <xf numFmtId="0" fontId="3" fillId="14" borderId="0" applyAlignment="1" pivotButton="0" quotePrefix="0" xfId="0">
      <alignment horizontal="left"/>
    </xf>
    <xf numFmtId="0" fontId="3" fillId="14" borderId="7" applyAlignment="1" pivotButton="0" quotePrefix="0" xfId="0">
      <alignment horizontal="left"/>
    </xf>
    <xf numFmtId="164" fontId="2" fillId="14" borderId="6" pivotButton="0" quotePrefix="0" xfId="0"/>
    <xf numFmtId="164" fontId="3" fillId="14" borderId="0" applyAlignment="1" pivotButton="0" quotePrefix="0" xfId="0">
      <alignment horizontal="left"/>
    </xf>
    <xf numFmtId="164" fontId="3" fillId="14" borderId="7" applyAlignment="1" pivotButton="0" quotePrefix="0" xfId="0">
      <alignment horizontal="left"/>
    </xf>
    <xf numFmtId="0" fontId="2" fillId="15" borderId="6" pivotButton="0" quotePrefix="0" xfId="0"/>
    <xf numFmtId="0" fontId="3" fillId="15" borderId="0" applyAlignment="1" pivotButton="0" quotePrefix="0" xfId="0">
      <alignment horizontal="left"/>
    </xf>
    <xf numFmtId="0" fontId="3" fillId="15" borderId="7" applyAlignment="1" pivotButton="0" quotePrefix="0" xfId="0">
      <alignment horizontal="left"/>
    </xf>
    <xf numFmtId="164" fontId="3" fillId="15" borderId="0" applyAlignment="1" pivotButton="0" quotePrefix="0" xfId="0">
      <alignment horizontal="left"/>
    </xf>
    <xf numFmtId="164" fontId="3" fillId="15" borderId="7" applyAlignment="1" pivotButton="0" quotePrefix="0" xfId="0">
      <alignment horizontal="left"/>
    </xf>
    <xf numFmtId="0" fontId="2" fillId="16" borderId="6" pivotButton="0" quotePrefix="0" xfId="0"/>
    <xf numFmtId="0" fontId="3" fillId="16" borderId="0" applyAlignment="1" pivotButton="0" quotePrefix="0" xfId="0">
      <alignment horizontal="left"/>
    </xf>
    <xf numFmtId="0" fontId="3" fillId="16" borderId="7" applyAlignment="1" pivotButton="0" quotePrefix="0" xfId="0">
      <alignment horizontal="left"/>
    </xf>
    <xf numFmtId="164" fontId="2" fillId="16" borderId="6" pivotButton="0" quotePrefix="0" xfId="0"/>
    <xf numFmtId="164" fontId="3" fillId="16" borderId="0" applyAlignment="1" pivotButton="0" quotePrefix="0" xfId="0">
      <alignment horizontal="left"/>
    </xf>
    <xf numFmtId="164" fontId="3" fillId="16" borderId="7" applyAlignment="1" pivotButton="0" quotePrefix="0" xfId="0">
      <alignment horizontal="left"/>
    </xf>
    <xf numFmtId="0" fontId="2" fillId="17" borderId="6" pivotButton="0" quotePrefix="0" xfId="0"/>
    <xf numFmtId="0" fontId="3" fillId="17" borderId="0" applyAlignment="1" pivotButton="0" quotePrefix="0" xfId="0">
      <alignment horizontal="left"/>
    </xf>
    <xf numFmtId="0" fontId="3" fillId="17" borderId="7" applyAlignment="1" pivotButton="0" quotePrefix="0" xfId="0">
      <alignment horizontal="left"/>
    </xf>
    <xf numFmtId="0" fontId="2" fillId="2" borderId="2" pivotButton="0" quotePrefix="0" xfId="0"/>
    <xf numFmtId="164" fontId="2" fillId="17" borderId="11" pivotButton="0" quotePrefix="0" xfId="0"/>
    <xf numFmtId="164" fontId="3" fillId="17" borderId="12" applyAlignment="1" pivotButton="0" quotePrefix="0" xfId="0">
      <alignment horizontal="left"/>
    </xf>
    <xf numFmtId="164" fontId="3" fillId="17" borderId="13" applyAlignment="1" pivotButton="0" quotePrefix="0" xfId="0">
      <alignment horizontal="left"/>
    </xf>
    <xf numFmtId="164" fontId="2" fillId="3" borderId="0" applyAlignment="1" pivotButton="0" quotePrefix="0" xfId="0">
      <alignment horizontal="left" wrapText="1"/>
    </xf>
    <xf numFmtId="164" fontId="2" fillId="3" borderId="0" applyAlignment="1" pivotButton="0" quotePrefix="0" xfId="0">
      <alignment horizontal="center" vertical="center" wrapText="1"/>
    </xf>
    <xf numFmtId="0" fontId="2" fillId="3" borderId="0" pivotButton="0" quotePrefix="0" xfId="0"/>
    <xf numFmtId="164" fontId="2" fillId="3" borderId="0" pivotButton="0" quotePrefix="0" xfId="0"/>
    <xf numFmtId="2" fontId="2" fillId="9" borderId="1" pivotButton="0" quotePrefix="0" xfId="0"/>
    <xf numFmtId="2" fontId="2" fillId="18" borderId="1" pivotButton="0" quotePrefix="0" xfId="0"/>
    <xf numFmtId="2" fontId="2" fillId="4" borderId="1" applyAlignment="1" pivotButton="0" quotePrefix="0" xfId="0">
      <alignment horizontal="left"/>
    </xf>
    <xf numFmtId="2" fontId="2" fillId="5" borderId="1" applyAlignment="1" pivotButton="0" quotePrefix="0" xfId="0">
      <alignment horizontal="left"/>
    </xf>
    <xf numFmtId="2" fontId="2" fillId="6" borderId="1" applyAlignment="1" pivotButton="0" quotePrefix="0" xfId="0">
      <alignment horizontal="left"/>
    </xf>
    <xf numFmtId="2" fontId="2" fillId="7" borderId="1" applyAlignment="1" pivotButton="0" quotePrefix="0" xfId="0">
      <alignment horizontal="left"/>
    </xf>
    <xf numFmtId="2" fontId="2" fillId="8" borderId="1" applyAlignment="1" pivotButton="0" quotePrefix="0" xfId="0">
      <alignment horizontal="left"/>
    </xf>
    <xf numFmtId="2" fontId="2" fillId="9" borderId="1" applyAlignment="1" pivotButton="0" quotePrefix="0" xfId="0">
      <alignment horizontal="left"/>
    </xf>
    <xf numFmtId="2" fontId="2" fillId="10" borderId="1" applyAlignment="1" pivotButton="0" quotePrefix="0" xfId="0">
      <alignment horizontal="left"/>
    </xf>
    <xf numFmtId="2" fontId="2" fillId="11" borderId="1" applyAlignment="1" pivotButton="0" quotePrefix="0" xfId="0">
      <alignment horizontal="left"/>
    </xf>
    <xf numFmtId="2" fontId="2" fillId="3" borderId="0" applyAlignment="1" pivotButton="0" quotePrefix="0" xfId="0">
      <alignment horizontal="left"/>
    </xf>
    <xf numFmtId="49" fontId="2" fillId="4" borderId="1" applyAlignment="1" pivotButton="0" quotePrefix="0" xfId="0">
      <alignment horizontal="left"/>
    </xf>
    <xf numFmtId="49" fontId="2" fillId="5" borderId="1" applyAlignment="1" pivotButton="0" quotePrefix="0" xfId="0">
      <alignment horizontal="left"/>
    </xf>
    <xf numFmtId="49" fontId="2" fillId="6" borderId="1" applyAlignment="1" pivotButton="0" quotePrefix="0" xfId="0">
      <alignment horizontal="left"/>
    </xf>
    <xf numFmtId="49" fontId="2" fillId="7" borderId="1" applyAlignment="1" pivotButton="0" quotePrefix="0" xfId="0">
      <alignment horizontal="left"/>
    </xf>
    <xf numFmtId="49" fontId="2" fillId="8" borderId="1" applyAlignment="1" pivotButton="0" quotePrefix="0" xfId="0">
      <alignment horizontal="left"/>
    </xf>
    <xf numFmtId="49" fontId="2" fillId="9" borderId="1" applyAlignment="1" pivotButton="0" quotePrefix="0" xfId="0">
      <alignment horizontal="left"/>
    </xf>
    <xf numFmtId="49" fontId="2" fillId="10" borderId="1" applyAlignment="1" pivotButton="0" quotePrefix="0" xfId="0">
      <alignment horizontal="left"/>
    </xf>
    <xf numFmtId="49" fontId="2" fillId="11" borderId="1" applyAlignment="1" pivotButton="0" quotePrefix="0" xfId="0">
      <alignment horizontal="left"/>
    </xf>
    <xf numFmtId="165" fontId="2" fillId="5" borderId="1" applyAlignment="1" pivotButton="0" quotePrefix="0" xfId="0">
      <alignment horizontal="left"/>
    </xf>
    <xf numFmtId="165" fontId="2" fillId="7" borderId="1" applyAlignment="1" pivotButton="0" quotePrefix="0" xfId="0">
      <alignment horizontal="left"/>
    </xf>
    <xf numFmtId="165" fontId="2" fillId="8" borderId="1" applyAlignment="1" pivotButton="0" quotePrefix="0" xfId="0">
      <alignment horizontal="left"/>
    </xf>
    <xf numFmtId="165" fontId="2" fillId="9" borderId="1" applyAlignment="1" pivotButton="0" quotePrefix="0" xfId="0">
      <alignment horizontal="left"/>
    </xf>
    <xf numFmtId="165" fontId="2" fillId="10" borderId="1" applyAlignment="1" pivotButton="0" quotePrefix="0" xfId="0">
      <alignment horizontal="left"/>
    </xf>
    <xf numFmtId="165" fontId="2" fillId="11" borderId="1" applyAlignment="1" pivotButton="0" quotePrefix="0" xfId="0">
      <alignment horizontal="left"/>
    </xf>
    <xf numFmtId="165" fontId="2" fillId="6" borderId="1" applyAlignment="1" pivotButton="0" quotePrefix="0" xfId="0">
      <alignment horizontal="left"/>
    </xf>
    <xf numFmtId="0" fontId="2" fillId="9" borderId="1" pivotButton="0" quotePrefix="0" xfId="0"/>
    <xf numFmtId="0" fontId="2" fillId="18" borderId="1" pivotButton="0" quotePrefix="0" xfId="0"/>
    <xf numFmtId="0" fontId="2" fillId="19" borderId="1" pivotButton="0" quotePrefix="0" xfId="0"/>
    <xf numFmtId="166" fontId="2" fillId="4" borderId="1" applyAlignment="1" pivotButton="0" quotePrefix="0" xfId="0">
      <alignment horizontal="left"/>
    </xf>
    <xf numFmtId="166" fontId="2" fillId="5" borderId="1" applyAlignment="1" pivotButton="0" quotePrefix="0" xfId="0">
      <alignment horizontal="left"/>
    </xf>
    <xf numFmtId="166" fontId="2" fillId="6" borderId="1" applyAlignment="1" pivotButton="0" quotePrefix="0" xfId="0">
      <alignment horizontal="left"/>
    </xf>
    <xf numFmtId="166" fontId="2" fillId="7" borderId="1" applyAlignment="1" pivotButton="0" quotePrefix="0" xfId="0">
      <alignment horizontal="left"/>
    </xf>
    <xf numFmtId="166" fontId="2" fillId="8" borderId="1" applyAlignment="1" pivotButton="0" quotePrefix="0" xfId="0">
      <alignment horizontal="left"/>
    </xf>
    <xf numFmtId="166" fontId="2" fillId="9" borderId="1" applyAlignment="1" pivotButton="0" quotePrefix="0" xfId="0">
      <alignment horizontal="left"/>
    </xf>
    <xf numFmtId="166" fontId="2" fillId="10" borderId="1" applyAlignment="1" pivotButton="0" quotePrefix="0" xfId="0">
      <alignment horizontal="left"/>
    </xf>
    <xf numFmtId="166" fontId="2" fillId="11" borderId="1" applyAlignment="1" pivotButton="0" quotePrefix="0" xfId="0">
      <alignment horizontal="left"/>
    </xf>
    <xf numFmtId="0" fontId="2" fillId="9" borderId="0" pivotButton="0" quotePrefix="0" xfId="0"/>
    <xf numFmtId="0" fontId="2" fillId="20" borderId="1" pivotButton="0" quotePrefix="0" xfId="0"/>
    <xf numFmtId="165" fontId="2" fillId="4" borderId="1" applyAlignment="1" pivotButton="0" quotePrefix="0" xfId="0">
      <alignment horizontal="left"/>
    </xf>
    <xf numFmtId="165" fontId="2" fillId="9" borderId="1" pivotButton="0" quotePrefix="0" xfId="0"/>
    <xf numFmtId="165" fontId="2" fillId="20" borderId="1" pivotButton="0" quotePrefix="0" xfId="0"/>
    <xf numFmtId="165" fontId="2" fillId="3" borderId="0" applyAlignment="1" pivotButton="0" quotePrefix="0" xfId="0">
      <alignment horizontal="left"/>
    </xf>
    <xf numFmtId="0" fontId="2" fillId="4" borderId="1" applyAlignment="1" pivotButton="0" quotePrefix="0" xfId="0">
      <alignment horizontal="left"/>
    </xf>
    <xf numFmtId="0" fontId="2" fillId="5" borderId="1" applyAlignment="1" pivotButton="0" quotePrefix="0" xfId="0">
      <alignment horizontal="left"/>
    </xf>
    <xf numFmtId="0" fontId="2" fillId="6" borderId="1" applyAlignment="1" pivotButton="0" quotePrefix="0" xfId="0">
      <alignment horizontal="left"/>
    </xf>
    <xf numFmtId="0" fontId="2" fillId="7" borderId="1" applyAlignment="1" pivotButton="0" quotePrefix="0" xfId="0">
      <alignment horizontal="left"/>
    </xf>
    <xf numFmtId="0" fontId="2" fillId="8" borderId="1" applyAlignment="1" pivotButton="0" quotePrefix="0" xfId="0">
      <alignment horizontal="left"/>
    </xf>
    <xf numFmtId="0" fontId="2" fillId="9" borderId="1" applyAlignment="1" pivotButton="0" quotePrefix="0" xfId="0">
      <alignment horizontal="left"/>
    </xf>
    <xf numFmtId="0" fontId="2" fillId="10" borderId="1" applyAlignment="1" pivotButton="0" quotePrefix="0" xfId="0">
      <alignment horizontal="left"/>
    </xf>
    <xf numFmtId="0" fontId="2" fillId="11" borderId="1" applyAlignment="1" pivotButton="0" quotePrefix="0" xfId="0">
      <alignment horizontal="left"/>
    </xf>
    <xf numFmtId="165" fontId="2" fillId="5" borderId="1" pivotButton="0" quotePrefix="0" xfId="0"/>
    <xf numFmtId="165" fontId="3" fillId="4" borderId="1" applyAlignment="1" pivotButton="0" quotePrefix="0" xfId="0">
      <alignment horizontal="left"/>
    </xf>
    <xf numFmtId="165" fontId="3" fillId="5" borderId="1" applyAlignment="1" pivotButton="0" quotePrefix="0" xfId="0">
      <alignment horizontal="left"/>
    </xf>
    <xf numFmtId="165" fontId="3" fillId="6" borderId="1" applyAlignment="1" pivotButton="0" quotePrefix="0" xfId="0">
      <alignment horizontal="left"/>
    </xf>
    <xf numFmtId="165" fontId="3" fillId="7" borderId="1" applyAlignment="1" pivotButton="0" quotePrefix="0" xfId="0">
      <alignment horizontal="left"/>
    </xf>
    <xf numFmtId="165" fontId="3" fillId="8" borderId="1" applyAlignment="1" pivotButton="0" quotePrefix="0" xfId="0">
      <alignment horizontal="left"/>
    </xf>
    <xf numFmtId="165" fontId="3" fillId="9" borderId="1" applyAlignment="1" pivotButton="0" quotePrefix="0" xfId="0">
      <alignment horizontal="left"/>
    </xf>
    <xf numFmtId="165" fontId="3" fillId="10" borderId="1" applyAlignment="1" pivotButton="0" quotePrefix="0" xfId="0">
      <alignment horizontal="left"/>
    </xf>
    <xf numFmtId="165" fontId="3" fillId="11" borderId="1" applyAlignment="1" pivotButton="0" quotePrefix="0" xfId="0">
      <alignment horizontal="left"/>
    </xf>
    <xf numFmtId="165" fontId="2" fillId="21" borderId="1" pivotButton="0" quotePrefix="0" xfId="0"/>
    <xf numFmtId="165" fontId="2" fillId="22" borderId="1" pivotButton="0" quotePrefix="0" xfId="0"/>
    <xf numFmtId="165" fontId="2" fillId="6" borderId="1" pivotButton="0" quotePrefix="0" xfId="0"/>
    <xf numFmtId="165" fontId="2" fillId="18" borderId="1" pivotButton="0" quotePrefix="0" xfId="0"/>
    <xf numFmtId="165" fontId="2" fillId="23" borderId="1" pivotButton="0" quotePrefix="0" xfId="0"/>
    <xf numFmtId="0" fontId="2" fillId="3" borderId="0" applyAlignment="1" pivotButton="0" quotePrefix="0" xfId="0">
      <alignment vertical="center" wrapText="1"/>
    </xf>
    <xf numFmtId="2" fontId="2" fillId="3" borderId="0" pivotButton="0" quotePrefix="0" xfId="0"/>
    <xf numFmtId="2" fontId="2" fillId="2" borderId="1" pivotButton="0" quotePrefix="0" xfId="0"/>
    <xf numFmtId="2" fontId="2" fillId="24" borderId="1" pivotButton="0" quotePrefix="0" xfId="0"/>
    <xf numFmtId="0" fontId="2" fillId="2" borderId="1" pivotButton="0" quotePrefix="0" xfId="0"/>
    <xf numFmtId="0" fontId="2" fillId="24" borderId="1" pivotButton="0" quotePrefix="0" xfId="0"/>
    <xf numFmtId="165" fontId="2" fillId="2" borderId="1" pivotButton="0" quotePrefix="0" xfId="0"/>
    <xf numFmtId="165" fontId="2" fillId="25" borderId="1" pivotButton="0" quotePrefix="0" xfId="0"/>
    <xf numFmtId="2" fontId="2" fillId="5" borderId="1" pivotButton="0" quotePrefix="0" xfId="0"/>
    <xf numFmtId="2" fontId="2" fillId="21" borderId="1" pivotButton="0" quotePrefix="0" xfId="0"/>
    <xf numFmtId="2" fontId="2" fillId="22" borderId="1" pivotButton="0" quotePrefix="0" xfId="0"/>
    <xf numFmtId="2" fontId="2" fillId="6" borderId="1" pivotButton="0" quotePrefix="0" xfId="0"/>
    <xf numFmtId="2" fontId="2" fillId="23" borderId="1" pivotButton="0" quotePrefix="0" xfId="0"/>
    <xf numFmtId="0" fontId="4" fillId="2" borderId="1" pivotButton="0" quotePrefix="0" xfId="0"/>
    <xf numFmtId="0" fontId="4" fillId="26" borderId="1" pivotButton="0" quotePrefix="0" xfId="0"/>
    <xf numFmtId="2" fontId="4" fillId="4" borderId="1" applyAlignment="1" pivotButton="0" quotePrefix="0" xfId="0">
      <alignment horizontal="left"/>
    </xf>
    <xf numFmtId="2" fontId="4" fillId="5" borderId="1" applyAlignment="1" pivotButton="0" quotePrefix="0" xfId="0">
      <alignment horizontal="left"/>
    </xf>
    <xf numFmtId="2" fontId="4" fillId="6" borderId="1" applyAlignment="1" pivotButton="0" quotePrefix="0" xfId="0">
      <alignment horizontal="left"/>
    </xf>
    <xf numFmtId="2" fontId="4" fillId="7" borderId="1" applyAlignment="1" pivotButton="0" quotePrefix="0" xfId="0">
      <alignment horizontal="left"/>
    </xf>
    <xf numFmtId="2" fontId="4" fillId="8" borderId="1" applyAlignment="1" pivotButton="0" quotePrefix="0" xfId="0">
      <alignment horizontal="left"/>
    </xf>
    <xf numFmtId="2" fontId="4" fillId="9" borderId="1" applyAlignment="1" pivotButton="0" quotePrefix="0" xfId="0">
      <alignment horizontal="left"/>
    </xf>
    <xf numFmtId="2" fontId="4" fillId="10" borderId="1" applyAlignment="1" pivotButton="0" quotePrefix="0" xfId="0">
      <alignment horizontal="left"/>
    </xf>
    <xf numFmtId="2" fontId="4" fillId="11" borderId="1" applyAlignment="1" pivotButton="0" quotePrefix="0" xfId="0">
      <alignment horizontal="left"/>
    </xf>
    <xf numFmtId="2" fontId="2" fillId="27" borderId="10" pivotButton="0" quotePrefix="0" xfId="0"/>
    <xf numFmtId="2" fontId="3" fillId="4" borderId="10" applyAlignment="1" pivotButton="0" quotePrefix="0" xfId="0">
      <alignment horizontal="left"/>
    </xf>
    <xf numFmtId="2" fontId="3" fillId="5" borderId="10" applyAlignment="1" pivotButton="0" quotePrefix="0" xfId="0">
      <alignment horizontal="left"/>
    </xf>
    <xf numFmtId="2" fontId="3" fillId="6" borderId="10" applyAlignment="1" pivotButton="0" quotePrefix="0" xfId="0">
      <alignment horizontal="left"/>
    </xf>
    <xf numFmtId="2" fontId="3" fillId="7" borderId="10" applyAlignment="1" pivotButton="0" quotePrefix="0" xfId="0">
      <alignment horizontal="left"/>
    </xf>
    <xf numFmtId="2" fontId="3" fillId="8" borderId="10" applyAlignment="1" pivotButton="0" quotePrefix="0" xfId="0">
      <alignment horizontal="left"/>
    </xf>
    <xf numFmtId="2" fontId="3" fillId="9" borderId="10" applyAlignment="1" pivotButton="0" quotePrefix="0" xfId="0">
      <alignment horizontal="left"/>
    </xf>
    <xf numFmtId="2" fontId="3" fillId="10" borderId="10" applyAlignment="1" pivotButton="0" quotePrefix="0" xfId="0">
      <alignment horizontal="left"/>
    </xf>
    <xf numFmtId="2" fontId="3" fillId="11" borderId="10" applyAlignment="1" pivotButton="0" quotePrefix="0" xfId="0">
      <alignment horizontal="left"/>
    </xf>
    <xf numFmtId="0" fontId="2" fillId="27" borderId="1" pivotButton="0" quotePrefix="0" xfId="0"/>
    <xf numFmtId="2" fontId="3" fillId="4" borderId="1" applyAlignment="1" pivotButton="0" quotePrefix="0" xfId="0">
      <alignment horizontal="left"/>
    </xf>
    <xf numFmtId="2" fontId="3" fillId="5" borderId="1" applyAlignment="1" pivotButton="0" quotePrefix="0" xfId="0">
      <alignment horizontal="left"/>
    </xf>
    <xf numFmtId="2" fontId="3" fillId="6" borderId="1" applyAlignment="1" pivotButton="0" quotePrefix="0" xfId="0">
      <alignment horizontal="left"/>
    </xf>
    <xf numFmtId="2" fontId="3" fillId="7" borderId="1" applyAlignment="1" pivotButton="0" quotePrefix="0" xfId="0">
      <alignment horizontal="left"/>
    </xf>
    <xf numFmtId="2" fontId="3" fillId="8" borderId="1" applyAlignment="1" pivotButton="0" quotePrefix="0" xfId="0">
      <alignment horizontal="left"/>
    </xf>
    <xf numFmtId="2" fontId="3" fillId="9" borderId="1" applyAlignment="1" pivotButton="0" quotePrefix="0" xfId="0">
      <alignment horizontal="left"/>
    </xf>
    <xf numFmtId="2" fontId="3" fillId="10" borderId="1" applyAlignment="1" pivotButton="0" quotePrefix="0" xfId="0">
      <alignment horizontal="left"/>
    </xf>
    <xf numFmtId="2" fontId="3" fillId="11" borderId="1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2" fontId="2" fillId="27" borderId="1" pivotButton="0" quotePrefix="0" xfId="0"/>
    <xf numFmtId="2" fontId="3" fillId="27" borderId="1" applyAlignment="1" pivotButton="0" quotePrefix="0" xfId="0">
      <alignment horizontal="left"/>
    </xf>
    <xf numFmtId="0" fontId="3" fillId="4" borderId="1" applyAlignment="1" pivotButton="0" quotePrefix="0" xfId="0">
      <alignment horizontal="left"/>
    </xf>
    <xf numFmtId="0" fontId="3" fillId="5" borderId="1" applyAlignment="1" pivotButton="0" quotePrefix="0" xfId="0">
      <alignment horizontal="left"/>
    </xf>
    <xf numFmtId="0" fontId="3" fillId="6" borderId="1" applyAlignment="1" pivotButton="0" quotePrefix="0" xfId="0">
      <alignment horizontal="left"/>
    </xf>
    <xf numFmtId="0" fontId="3" fillId="7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9" borderId="1" applyAlignment="1" pivotButton="0" quotePrefix="0" xfId="0">
      <alignment horizontal="left"/>
    </xf>
    <xf numFmtId="0" fontId="3" fillId="10" borderId="1" applyAlignment="1" pivotButton="0" quotePrefix="0" xfId="0">
      <alignment horizontal="left"/>
    </xf>
    <xf numFmtId="0" fontId="3" fillId="11" borderId="1" applyAlignment="1" pivotButton="0" quotePrefix="0" xfId="0">
      <alignment horizontal="left"/>
    </xf>
    <xf numFmtId="0" fontId="4" fillId="3" borderId="0" pivotButton="0" quotePrefix="0" xfId="0"/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vertical="center" wrapText="1"/>
    </xf>
    <xf numFmtId="2" fontId="2" fillId="28" borderId="2" pivotButton="0" quotePrefix="0" xfId="0"/>
    <xf numFmtId="164" fontId="2" fillId="3" borderId="1" pivotButton="0" quotePrefix="0" xfId="0"/>
    <xf numFmtId="164" fontId="3" fillId="3" borderId="1" applyAlignment="1" pivotButton="0" quotePrefix="0" xfId="0">
      <alignment horizontal="left"/>
    </xf>
    <xf numFmtId="164" fontId="2" fillId="12" borderId="1" pivotButton="0" quotePrefix="0" xfId="0"/>
    <xf numFmtId="164" fontId="3" fillId="12" borderId="1" applyAlignment="1" pivotButton="0" quotePrefix="0" xfId="0">
      <alignment horizontal="left"/>
    </xf>
    <xf numFmtId="164" fontId="2" fillId="13" borderId="1" pivotButton="0" quotePrefix="0" xfId="0"/>
    <xf numFmtId="164" fontId="3" fillId="13" borderId="1" applyAlignment="1" pivotButton="0" quotePrefix="0" xfId="0">
      <alignment horizontal="left"/>
    </xf>
    <xf numFmtId="164" fontId="2" fillId="14" borderId="1" pivotButton="0" quotePrefix="0" xfId="0"/>
    <xf numFmtId="164" fontId="3" fillId="14" borderId="1" applyAlignment="1" pivotButton="0" quotePrefix="0" xfId="0">
      <alignment horizontal="left"/>
    </xf>
    <xf numFmtId="0" fontId="2" fillId="15" borderId="1" pivotButton="0" quotePrefix="0" xfId="0"/>
    <xf numFmtId="164" fontId="3" fillId="15" borderId="1" applyAlignment="1" pivotButton="0" quotePrefix="0" xfId="0">
      <alignment horizontal="left"/>
    </xf>
    <xf numFmtId="164" fontId="2" fillId="16" borderId="1" pivotButton="0" quotePrefix="0" xfId="0"/>
    <xf numFmtId="164" fontId="3" fillId="16" borderId="1" applyAlignment="1" pivotButton="0" quotePrefix="0" xfId="0">
      <alignment horizontal="left"/>
    </xf>
    <xf numFmtId="0" fontId="2" fillId="28" borderId="2" pivotButton="0" quotePrefix="0" xfId="0"/>
    <xf numFmtId="164" fontId="2" fillId="17" borderId="1" pivotButton="0" quotePrefix="0" xfId="0"/>
    <xf numFmtId="164" fontId="3" fillId="17" borderId="1" applyAlignment="1" pivotButton="0" quotePrefix="0" xfId="0">
      <alignment horizontal="left"/>
    </xf>
    <xf numFmtId="0" fontId="4" fillId="0" borderId="0" pivotButton="0" quotePrefix="0" xfId="0"/>
    <xf numFmtId="0" fontId="4" fillId="3" borderId="0" applyAlignment="1" pivotButton="0" quotePrefix="0" xfId="0">
      <alignment horizontal="left" wrapText="1"/>
    </xf>
    <xf numFmtId="0" fontId="4" fillId="29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left"/>
    </xf>
    <xf numFmtId="0" fontId="4" fillId="24" borderId="0" applyAlignment="1" pivotButton="0" quotePrefix="0" xfId="0">
      <alignment horizontal="left"/>
    </xf>
    <xf numFmtId="0" fontId="2" fillId="30" borderId="0" pivotButton="0" quotePrefix="0" xfId="0"/>
    <xf numFmtId="0" fontId="2" fillId="21" borderId="0" applyAlignment="1" pivotButton="0" quotePrefix="0" xfId="0">
      <alignment horizontal="left"/>
    </xf>
    <xf numFmtId="0" fontId="2" fillId="31" borderId="0" applyAlignment="1" pivotButton="0" quotePrefix="0" xfId="0">
      <alignment horizontal="left"/>
    </xf>
    <xf numFmtId="0" fontId="2" fillId="32" borderId="0" applyAlignment="1" pivotButton="0" quotePrefix="0" xfId="0">
      <alignment horizontal="left"/>
    </xf>
    <xf numFmtId="0" fontId="2" fillId="6" borderId="0" applyAlignment="1" pivotButton="0" quotePrefix="0" xfId="0">
      <alignment horizontal="left"/>
    </xf>
    <xf numFmtId="0" fontId="2" fillId="33" borderId="0" applyAlignment="1" pivotButton="0" quotePrefix="0" xfId="0">
      <alignment horizontal="left"/>
    </xf>
    <xf numFmtId="0" fontId="2" fillId="8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34" borderId="0" applyAlignment="1" pivotButton="0" quotePrefix="0" xfId="0">
      <alignment horizontal="left"/>
    </xf>
    <xf numFmtId="0" fontId="2" fillId="7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2" fontId="2" fillId="27" borderId="0" pivotButton="0" quotePrefix="0" xfId="0"/>
    <xf numFmtId="2" fontId="2" fillId="24" borderId="0" pivotButton="0" quotePrefix="0" xfId="0"/>
    <xf numFmtId="2" fontId="2" fillId="21" borderId="0" applyAlignment="1" pivotButton="0" quotePrefix="0" xfId="0">
      <alignment horizontal="left"/>
    </xf>
    <xf numFmtId="2" fontId="2" fillId="31" borderId="0" applyAlignment="1" pivotButton="0" quotePrefix="0" xfId="0">
      <alignment horizontal="left"/>
    </xf>
    <xf numFmtId="2" fontId="2" fillId="32" borderId="0" applyAlignment="1" pivotButton="0" quotePrefix="0" xfId="0">
      <alignment horizontal="left"/>
    </xf>
    <xf numFmtId="2" fontId="2" fillId="6" borderId="0" applyAlignment="1" pivotButton="0" quotePrefix="0" xfId="0">
      <alignment horizontal="left"/>
    </xf>
    <xf numFmtId="2" fontId="2" fillId="33" borderId="0" applyAlignment="1" pivotButton="0" quotePrefix="0" xfId="0">
      <alignment horizontal="left"/>
    </xf>
    <xf numFmtId="2" fontId="2" fillId="8" borderId="0" applyAlignment="1" pivotButton="0" quotePrefix="0" xfId="0">
      <alignment horizontal="left"/>
    </xf>
    <xf numFmtId="2" fontId="2" fillId="10" borderId="0" applyAlignment="1" pivotButton="0" quotePrefix="0" xfId="0">
      <alignment horizontal="left"/>
    </xf>
    <xf numFmtId="2" fontId="2" fillId="34" borderId="0" applyAlignment="1" pivotButton="0" quotePrefix="0" xfId="0">
      <alignment horizontal="left"/>
    </xf>
    <xf numFmtId="2" fontId="2" fillId="7" borderId="0" applyAlignment="1" pivotButton="0" quotePrefix="0" xfId="0">
      <alignment horizontal="left"/>
    </xf>
    <xf numFmtId="2" fontId="2" fillId="9" borderId="0" applyAlignment="1" pivotButton="0" quotePrefix="0" xfId="0">
      <alignment horizontal="left"/>
    </xf>
    <xf numFmtId="165" fontId="2" fillId="7" borderId="0" applyAlignment="1" pivotButton="0" quotePrefix="0" xfId="0">
      <alignment horizontal="left"/>
    </xf>
    <xf numFmtId="165" fontId="2" fillId="9" borderId="0" applyAlignment="1" pivotButton="0" quotePrefix="0" xfId="0">
      <alignment horizontal="left"/>
    </xf>
    <xf numFmtId="0" fontId="2" fillId="27" borderId="0" pivotButton="0" quotePrefix="0" xfId="0"/>
    <xf numFmtId="0" fontId="2" fillId="24" borderId="0" pivotButton="0" quotePrefix="0" xfId="0"/>
    <xf numFmtId="165" fontId="2" fillId="21" borderId="0" applyAlignment="1" pivotButton="0" quotePrefix="0" xfId="0">
      <alignment horizontal="left"/>
    </xf>
    <xf numFmtId="165" fontId="2" fillId="31" borderId="0" applyAlignment="1" pivotButton="0" quotePrefix="0" xfId="0">
      <alignment horizontal="left"/>
    </xf>
    <xf numFmtId="165" fontId="2" fillId="32" borderId="0" applyAlignment="1" pivotButton="0" quotePrefix="0" xfId="0">
      <alignment horizontal="left"/>
    </xf>
    <xf numFmtId="165" fontId="2" fillId="6" borderId="0" applyAlignment="1" pivotButton="0" quotePrefix="0" xfId="0">
      <alignment horizontal="left"/>
    </xf>
    <xf numFmtId="165" fontId="2" fillId="33" borderId="0" applyAlignment="1" pivotButton="0" quotePrefix="0" xfId="0">
      <alignment horizontal="left"/>
    </xf>
    <xf numFmtId="165" fontId="2" fillId="8" borderId="0" applyAlignment="1" pivotButton="0" quotePrefix="0" xfId="0">
      <alignment horizontal="left"/>
    </xf>
    <xf numFmtId="165" fontId="2" fillId="10" borderId="0" applyAlignment="1" pivotButton="0" quotePrefix="0" xfId="0">
      <alignment horizontal="left"/>
    </xf>
    <xf numFmtId="165" fontId="2" fillId="34" borderId="0" applyAlignment="1" pivotButton="0" quotePrefix="0" xfId="0">
      <alignment horizontal="left"/>
    </xf>
    <xf numFmtId="165" fontId="2" fillId="0" borderId="0" applyAlignment="1" pivotButton="0" quotePrefix="0" xfId="0">
      <alignment horizontal="left"/>
    </xf>
    <xf numFmtId="2" fontId="2" fillId="18" borderId="0" pivotButton="0" quotePrefix="0" xfId="0"/>
    <xf numFmtId="2" fontId="2" fillId="0" borderId="0" applyAlignment="1" pivotButton="0" quotePrefix="0" xfId="0">
      <alignment horizontal="left"/>
    </xf>
    <xf numFmtId="0" fontId="2" fillId="18" borderId="0" pivotButton="0" quotePrefix="0" xfId="0"/>
    <xf numFmtId="0" fontId="2" fillId="2" borderId="0" pivotButton="0" quotePrefix="0" xfId="0"/>
    <xf numFmtId="167" fontId="2" fillId="33" borderId="0" applyAlignment="1" pivotButton="0" quotePrefix="0" xfId="0">
      <alignment horizontal="left"/>
    </xf>
    <xf numFmtId="167" fontId="2" fillId="8" borderId="0" applyAlignment="1" pivotButton="0" quotePrefix="0" xfId="0">
      <alignment horizontal="left"/>
    </xf>
    <xf numFmtId="167" fontId="2" fillId="10" borderId="0" applyAlignment="1" pivotButton="0" quotePrefix="0" xfId="0">
      <alignment horizontal="left"/>
    </xf>
    <xf numFmtId="165" fontId="2" fillId="25" borderId="0" pivotButton="0" quotePrefix="0" xfId="0"/>
    <xf numFmtId="165" fontId="2" fillId="20" borderId="0" pivotButton="0" quotePrefix="0" xfId="0"/>
    <xf numFmtId="0" fontId="2" fillId="20" borderId="0" pivotButton="0" quotePrefix="0" xfId="0"/>
    <xf numFmtId="0" fontId="4" fillId="3" borderId="0" applyAlignment="1" pivotButton="0" quotePrefix="0" xfId="0">
      <alignment horizontal="right"/>
    </xf>
    <xf numFmtId="165" fontId="4" fillId="0" borderId="0" pivotButton="0" quotePrefix="0" xfId="0"/>
    <xf numFmtId="0" fontId="4" fillId="2" borderId="0" pivotButton="0" quotePrefix="0" xfId="0"/>
    <xf numFmtId="0" fontId="7" fillId="2" borderId="0" pivotButton="0" quotePrefix="0" xfId="0"/>
    <xf numFmtId="164" fontId="2" fillId="2" borderId="0" pivotButton="0" quotePrefix="0" xfId="0"/>
    <xf numFmtId="0" fontId="2" fillId="12" borderId="0" pivotButton="0" quotePrefix="0" xfId="0"/>
    <xf numFmtId="0" fontId="2" fillId="12" borderId="0" applyAlignment="1" pivotButton="0" quotePrefix="0" xfId="0">
      <alignment horizontal="left"/>
    </xf>
    <xf numFmtId="164" fontId="2" fillId="12" borderId="0" pivotButton="0" quotePrefix="0" xfId="0"/>
    <xf numFmtId="164" fontId="8" fillId="12" borderId="0" applyAlignment="1" pivotButton="0" quotePrefix="0" xfId="0">
      <alignment horizontal="left"/>
    </xf>
    <xf numFmtId="165" fontId="2" fillId="12" borderId="0" pivotButton="0" quotePrefix="0" xfId="0"/>
    <xf numFmtId="165" fontId="2" fillId="2" borderId="0" pivotButton="0" quotePrefix="0" xfId="0"/>
    <xf numFmtId="165" fontId="3" fillId="12" borderId="0" applyAlignment="1" pivotButton="0" quotePrefix="0" xfId="0">
      <alignment horizontal="left"/>
    </xf>
    <xf numFmtId="165" fontId="8" fillId="12" borderId="0" applyAlignment="1" pivotButton="0" quotePrefix="0" xfId="0">
      <alignment horizontal="left"/>
    </xf>
    <xf numFmtId="0" fontId="2" fillId="13" borderId="0" pivotButton="0" quotePrefix="0" xfId="0"/>
    <xf numFmtId="0" fontId="2" fillId="13" borderId="0" applyAlignment="1" pivotButton="0" quotePrefix="0" xfId="0">
      <alignment horizontal="left"/>
    </xf>
    <xf numFmtId="164" fontId="2" fillId="13" borderId="0" pivotButton="0" quotePrefix="0" xfId="0"/>
    <xf numFmtId="164" fontId="8" fillId="13" borderId="0" applyAlignment="1" pivotButton="0" quotePrefix="0" xfId="0">
      <alignment horizontal="left"/>
    </xf>
    <xf numFmtId="165" fontId="2" fillId="13" borderId="0" pivotButton="0" quotePrefix="0" xfId="0"/>
    <xf numFmtId="165" fontId="3" fillId="13" borderId="0" applyAlignment="1" pivotButton="0" quotePrefix="0" xfId="0">
      <alignment horizontal="left"/>
    </xf>
    <xf numFmtId="165" fontId="8" fillId="13" borderId="0" applyAlignment="1" pivotButton="0" quotePrefix="0" xfId="0">
      <alignment horizontal="left"/>
    </xf>
    <xf numFmtId="0" fontId="2" fillId="14" borderId="0" pivotButton="0" quotePrefix="0" xfId="0"/>
    <xf numFmtId="0" fontId="2" fillId="14" borderId="0" applyAlignment="1" pivotButton="0" quotePrefix="0" xfId="0">
      <alignment horizontal="left"/>
    </xf>
    <xf numFmtId="164" fontId="2" fillId="14" borderId="0" pivotButton="0" quotePrefix="0" xfId="0"/>
    <xf numFmtId="164" fontId="8" fillId="14" borderId="0" applyAlignment="1" pivotButton="0" quotePrefix="0" xfId="0">
      <alignment horizontal="left"/>
    </xf>
    <xf numFmtId="165" fontId="2" fillId="14" borderId="0" pivotButton="0" quotePrefix="0" xfId="0"/>
    <xf numFmtId="165" fontId="3" fillId="14" borderId="0" applyAlignment="1" pivotButton="0" quotePrefix="0" xfId="0">
      <alignment horizontal="left"/>
    </xf>
    <xf numFmtId="165" fontId="8" fillId="14" borderId="0" applyAlignment="1" pivotButton="0" quotePrefix="0" xfId="0">
      <alignment horizontal="left"/>
    </xf>
    <xf numFmtId="0" fontId="2" fillId="15" borderId="0" pivotButton="0" quotePrefix="0" xfId="0"/>
    <xf numFmtId="0" fontId="2" fillId="15" borderId="0" applyAlignment="1" pivotButton="0" quotePrefix="0" xfId="0">
      <alignment horizontal="left"/>
    </xf>
    <xf numFmtId="164" fontId="2" fillId="15" borderId="0" applyAlignment="1" pivotButton="0" quotePrefix="0" xfId="0">
      <alignment horizontal="left"/>
    </xf>
    <xf numFmtId="165" fontId="2" fillId="15" borderId="0" pivotButton="0" quotePrefix="0" xfId="0"/>
    <xf numFmtId="165" fontId="2" fillId="15" borderId="0" applyAlignment="1" pivotButton="0" quotePrefix="0" xfId="0">
      <alignment horizontal="left"/>
    </xf>
    <xf numFmtId="0" fontId="2" fillId="16" borderId="0" pivotButton="0" quotePrefix="0" xfId="0"/>
    <xf numFmtId="0" fontId="2" fillId="16" borderId="0" applyAlignment="1" pivotButton="0" quotePrefix="0" xfId="0">
      <alignment horizontal="left"/>
    </xf>
    <xf numFmtId="164" fontId="2" fillId="16" borderId="0" pivotButton="0" quotePrefix="0" xfId="0"/>
    <xf numFmtId="164" fontId="8" fillId="16" borderId="0" applyAlignment="1" pivotButton="0" quotePrefix="0" xfId="0">
      <alignment horizontal="left"/>
    </xf>
    <xf numFmtId="165" fontId="2" fillId="16" borderId="0" pivotButton="0" quotePrefix="0" xfId="0"/>
    <xf numFmtId="165" fontId="3" fillId="16" borderId="0" applyAlignment="1" pivotButton="0" quotePrefix="0" xfId="0">
      <alignment horizontal="left"/>
    </xf>
    <xf numFmtId="165" fontId="8" fillId="16" borderId="0" applyAlignment="1" pivotButton="0" quotePrefix="0" xfId="0">
      <alignment horizontal="left"/>
    </xf>
    <xf numFmtId="0" fontId="2" fillId="17" borderId="0" pivotButton="0" quotePrefix="0" xfId="0"/>
    <xf numFmtId="0" fontId="2" fillId="17" borderId="0" applyAlignment="1" pivotButton="0" quotePrefix="0" xfId="0">
      <alignment horizontal="left"/>
    </xf>
    <xf numFmtId="164" fontId="2" fillId="17" borderId="0" pivotButton="0" quotePrefix="0" xfId="0"/>
    <xf numFmtId="164" fontId="8" fillId="17" borderId="0" applyAlignment="1" pivotButton="0" quotePrefix="0" xfId="0">
      <alignment horizontal="left"/>
    </xf>
    <xf numFmtId="165" fontId="2" fillId="17" borderId="0" pivotButton="0" quotePrefix="0" xfId="0"/>
    <xf numFmtId="165" fontId="3" fillId="17" borderId="0" applyAlignment="1" pivotButton="0" quotePrefix="0" xfId="0">
      <alignment horizontal="left"/>
    </xf>
    <xf numFmtId="165" fontId="8" fillId="17" borderId="0" applyAlignment="1" pivotButton="0" quotePrefix="0" xfId="0">
      <alignment horizontal="left"/>
    </xf>
    <xf numFmtId="165" fontId="2" fillId="3" borderId="0" pivotButton="0" quotePrefix="0" xfId="0"/>
    <xf numFmtId="165" fontId="3" fillId="3" borderId="0" applyAlignment="1" pivotButton="0" quotePrefix="0" xfId="0">
      <alignment horizontal="left"/>
    </xf>
    <xf numFmtId="165" fontId="8" fillId="3" borderId="0" applyAlignment="1" pivotButton="0" quotePrefix="0" xfId="0">
      <alignment horizontal="left"/>
    </xf>
    <xf numFmtId="165" fontId="1" fillId="25" borderId="0" pivotButton="0" quotePrefix="0" xfId="0"/>
    <xf numFmtId="0" fontId="2" fillId="25" borderId="0" pivotButton="0" quotePrefix="0" xfId="0"/>
    <xf numFmtId="164" fontId="2" fillId="25" borderId="0" pivotButton="0" quotePrefix="0" xfId="0"/>
    <xf numFmtId="49" fontId="4" fillId="0" borderId="0" pivotButton="0" quotePrefix="0" xfId="0"/>
    <xf numFmtId="168" fontId="4" fillId="0" borderId="0" pivotButton="0" quotePrefix="0" xfId="0"/>
    <xf numFmtId="14" fontId="4" fillId="0" borderId="0" pivotButton="0" quotePrefix="0" xfId="0"/>
    <xf numFmtId="49" fontId="4" fillId="30" borderId="0" pivotButton="0" quotePrefix="0" xfId="0"/>
    <xf numFmtId="168" fontId="4" fillId="30" borderId="0" pivotButton="0" quotePrefix="0" xfId="0"/>
    <xf numFmtId="0" fontId="4" fillId="30" borderId="0" pivotButton="0" quotePrefix="0" xfId="0"/>
    <xf numFmtId="14" fontId="4" fillId="30" borderId="0" pivotButton="0" quotePrefix="0" xfId="0"/>
    <xf numFmtId="169" fontId="4" fillId="30" borderId="0" pivotButton="0" quotePrefix="0" xfId="0"/>
    <xf numFmtId="170" fontId="4" fillId="30" borderId="0" pivotButton="0" quotePrefix="0" xfId="0"/>
    <xf numFmtId="0" fontId="4" fillId="24" borderId="0" pivotButton="0" quotePrefix="0" xfId="0"/>
    <xf numFmtId="169" fontId="4" fillId="0" borderId="0" pivotButton="0" quotePrefix="0" xfId="0"/>
    <xf numFmtId="170" fontId="4" fillId="0" borderId="0" pivotButton="0" quotePrefix="0" xfId="0"/>
    <xf numFmtId="0" fontId="4" fillId="35" borderId="0" pivotButton="0" quotePrefix="0" xfId="0"/>
    <xf numFmtId="49" fontId="4" fillId="29" borderId="0" pivotButton="0" quotePrefix="0" xfId="0"/>
    <xf numFmtId="168" fontId="4" fillId="29" borderId="0" pivotButton="0" quotePrefix="0" xfId="0"/>
    <xf numFmtId="0" fontId="4" fillId="29" borderId="0" pivotButton="0" quotePrefix="0" xfId="0"/>
    <xf numFmtId="14" fontId="4" fillId="29" borderId="0" pivotButton="0" quotePrefix="0" xfId="0"/>
    <xf numFmtId="169" fontId="4" fillId="29" borderId="0" pivotButton="0" quotePrefix="0" xfId="0"/>
    <xf numFmtId="170" fontId="4" fillId="29" borderId="0" pivotButton="0" quotePrefix="0" xfId="0"/>
    <xf numFmtId="49" fontId="4" fillId="24" borderId="0" pivotButton="0" quotePrefix="0" xfId="0"/>
    <xf numFmtId="168" fontId="4" fillId="24" borderId="0" pivotButton="0" quotePrefix="0" xfId="0"/>
    <xf numFmtId="14" fontId="4" fillId="24" borderId="0" pivotButton="0" quotePrefix="0" xfId="0"/>
    <xf numFmtId="168" fontId="4" fillId="3" borderId="0" pivotButton="0" quotePrefix="0" xfId="0"/>
    <xf numFmtId="0" fontId="0" fillId="3" borderId="0" pivotButton="0" quotePrefix="0" xfId="0"/>
    <xf numFmtId="49" fontId="0" fillId="36" borderId="0" pivotButton="0" quotePrefix="0" xfId="0"/>
    <xf numFmtId="49" fontId="0" fillId="3" borderId="0" pivotButton="0" quotePrefix="0" xfId="0"/>
    <xf numFmtId="49" fontId="0" fillId="0" borderId="0" pivotButton="0" quotePrefix="0" xfId="0"/>
    <xf numFmtId="4" fontId="0" fillId="3" borderId="0" pivotButton="0" quotePrefix="0" xfId="0"/>
    <xf numFmtId="0" fontId="0" fillId="3" borderId="14" pivotButton="0" quotePrefix="0" xfId="0"/>
    <xf numFmtId="0" fontId="0" fillId="3" borderId="15" pivotButton="0" quotePrefix="0" xfId="0"/>
    <xf numFmtId="49" fontId="0" fillId="36" borderId="16" pivotButton="0" quotePrefix="0" xfId="0"/>
    <xf numFmtId="49" fontId="0" fillId="3" borderId="15" pivotButton="0" quotePrefix="0" xfId="0"/>
    <xf numFmtId="49" fontId="0" fillId="0" borderId="15" pivotButton="0" quotePrefix="0" xfId="0"/>
    <xf numFmtId="4" fontId="0" fillId="3" borderId="15" pivotButton="0" quotePrefix="0" xfId="0"/>
    <xf numFmtId="49" fontId="0" fillId="0" borderId="17" pivotButton="0" quotePrefix="0" xfId="0"/>
    <xf numFmtId="49" fontId="0" fillId="3" borderId="18" pivotButton="0" quotePrefix="0" xfId="0"/>
    <xf numFmtId="49" fontId="9" fillId="37" borderId="19" pivotButton="0" quotePrefix="0" xfId="0"/>
    <xf numFmtId="167" fontId="9" fillId="37" borderId="20" pivotButton="0" quotePrefix="0" xfId="0"/>
    <xf numFmtId="0" fontId="9" fillId="37" borderId="20" pivotButton="0" quotePrefix="0" xfId="0"/>
    <xf numFmtId="0" fontId="10" fillId="37" borderId="20" pivotButton="0" quotePrefix="0" xfId="0"/>
    <xf numFmtId="0" fontId="0" fillId="3" borderId="18" pivotButton="0" quotePrefix="0" xfId="0"/>
    <xf numFmtId="49" fontId="0" fillId="36" borderId="20" pivotButton="0" quotePrefix="0" xfId="0"/>
    <xf numFmtId="165" fontId="0" fillId="0" borderId="15" pivotButton="0" quotePrefix="0" xfId="0"/>
    <xf numFmtId="171" fontId="0" fillId="3" borderId="15" pivotButton="0" quotePrefix="0" xfId="0"/>
    <xf numFmtId="171" fontId="0" fillId="0" borderId="15" pivotButton="0" quotePrefix="0" xfId="0"/>
    <xf numFmtId="167" fontId="0" fillId="0" borderId="15" pivotButton="0" quotePrefix="0" xfId="0"/>
    <xf numFmtId="167" fontId="0" fillId="3" borderId="15" pivotButton="0" quotePrefix="0" xfId="0"/>
    <xf numFmtId="167" fontId="0" fillId="0" borderId="17" pivotButton="0" quotePrefix="0" xfId="0"/>
    <xf numFmtId="0" fontId="0" fillId="3" borderId="24" pivotButton="0" quotePrefix="0" xfId="0"/>
    <xf numFmtId="49" fontId="12" fillId="3" borderId="18" pivotButton="0" quotePrefix="0" xfId="0"/>
    <xf numFmtId="49" fontId="13" fillId="3" borderId="15" pivotButton="0" quotePrefix="0" xfId="0"/>
    <xf numFmtId="49" fontId="11" fillId="3" borderId="24" pivotButton="0" quotePrefix="0" xfId="0"/>
    <xf numFmtId="49" fontId="0" fillId="3" borderId="27" applyAlignment="1" pivotButton="0" quotePrefix="0" xfId="0">
      <alignment horizontal="left"/>
    </xf>
    <xf numFmtId="49" fontId="0" fillId="3" borderId="14" pivotButton="0" quotePrefix="0" xfId="0"/>
    <xf numFmtId="49" fontId="0" fillId="3" borderId="14" applyAlignment="1" pivotButton="0" quotePrefix="0" xfId="0">
      <alignment horizontal="right"/>
    </xf>
    <xf numFmtId="49" fontId="13" fillId="3" borderId="15" applyAlignment="1" pivotButton="0" quotePrefix="0" xfId="0">
      <alignment horizontal="right"/>
    </xf>
    <xf numFmtId="0" fontId="0" fillId="3" borderId="28" pivotButton="0" quotePrefix="0" xfId="0"/>
    <xf numFmtId="165" fontId="11" fillId="19" borderId="20" pivotButton="0" quotePrefix="0" xfId="0"/>
    <xf numFmtId="172" fontId="11" fillId="11" borderId="20" pivotButton="0" quotePrefix="0" xfId="0"/>
    <xf numFmtId="171" fontId="11" fillId="11" borderId="20" pivotButton="0" quotePrefix="0" xfId="0"/>
    <xf numFmtId="167" fontId="14" fillId="3" borderId="15" pivotButton="0" quotePrefix="0" xfId="0"/>
    <xf numFmtId="49" fontId="0" fillId="3" borderId="14" applyAlignment="1" pivotButton="0" quotePrefix="0" xfId="0">
      <alignment horizontal="left"/>
    </xf>
    <xf numFmtId="171" fontId="11" fillId="19" borderId="20" pivotButton="0" quotePrefix="0" xfId="0"/>
    <xf numFmtId="49" fontId="0" fillId="3" borderId="27" pivotButton="0" quotePrefix="0" xfId="0"/>
    <xf numFmtId="165" fontId="0" fillId="24" borderId="15" pivotButton="0" quotePrefix="0" xfId="0"/>
    <xf numFmtId="49" fontId="0" fillId="3" borderId="14" applyAlignment="1" pivotButton="0" quotePrefix="0" xfId="0">
      <alignment horizontal="center"/>
    </xf>
    <xf numFmtId="49" fontId="15" fillId="3" borderId="14" pivotButton="0" quotePrefix="0" xfId="0"/>
    <xf numFmtId="49" fontId="15" fillId="3" borderId="14" applyAlignment="1" pivotButton="0" quotePrefix="0" xfId="0">
      <alignment horizontal="left"/>
    </xf>
    <xf numFmtId="167" fontId="11" fillId="19" borderId="20" pivotButton="0" quotePrefix="0" xfId="0"/>
    <xf numFmtId="167" fontId="16" fillId="28" borderId="20" pivotButton="0" quotePrefix="0" xfId="0"/>
    <xf numFmtId="171" fontId="16" fillId="28" borderId="20" pivotButton="0" quotePrefix="0" xfId="0"/>
    <xf numFmtId="0" fontId="16" fillId="28" borderId="20" pivotButton="0" quotePrefix="0" xfId="0"/>
    <xf numFmtId="167" fontId="14" fillId="3" borderId="18" pivotButton="0" quotePrefix="0" xfId="0"/>
    <xf numFmtId="49" fontId="11" fillId="3" borderId="15" pivotButton="0" quotePrefix="0" xfId="0"/>
    <xf numFmtId="171" fontId="11" fillId="3" borderId="14" pivotButton="0" quotePrefix="0" xfId="0"/>
    <xf numFmtId="171" fontId="11" fillId="3" borderId="15" pivotButton="0" quotePrefix="0" xfId="0"/>
    <xf numFmtId="171" fontId="13" fillId="3" borderId="15" pivotButton="0" quotePrefix="0" xfId="0"/>
    <xf numFmtId="49" fontId="11" fillId="3" borderId="28" applyAlignment="1" pivotButton="0" quotePrefix="0" xfId="0">
      <alignment horizontal="right"/>
    </xf>
    <xf numFmtId="0" fontId="11" fillId="11" borderId="20" applyAlignment="1" pivotButton="0" quotePrefix="0" xfId="0">
      <alignment horizontal="left"/>
    </xf>
    <xf numFmtId="0" fontId="13" fillId="3" borderId="15" pivotButton="0" quotePrefix="0" xfId="0"/>
    <xf numFmtId="167" fontId="11" fillId="19" borderId="20" applyAlignment="1" pivotButton="0" quotePrefix="0" xfId="0">
      <alignment horizontal="right"/>
    </xf>
    <xf numFmtId="167" fontId="11" fillId="39" borderId="20" pivotButton="0" quotePrefix="0" xfId="0"/>
    <xf numFmtId="1" fontId="11" fillId="39" borderId="20" pivotButton="0" quotePrefix="0" xfId="0"/>
    <xf numFmtId="0" fontId="0" fillId="0" borderId="15" pivotButton="0" quotePrefix="0" xfId="0"/>
    <xf numFmtId="169" fontId="0" fillId="0" borderId="15" pivotButton="0" quotePrefix="0" xfId="0"/>
    <xf numFmtId="0" fontId="0" fillId="0" borderId="29" pivotButton="0" quotePrefix="0" xfId="0"/>
    <xf numFmtId="49" fontId="11" fillId="40" borderId="20" pivotButton="0" quotePrefix="0" xfId="0"/>
    <xf numFmtId="49" fontId="0" fillId="0" borderId="30" pivotButton="0" quotePrefix="0" xfId="0"/>
    <xf numFmtId="0" fontId="0" fillId="3" borderId="30" pivotButton="0" quotePrefix="0" xfId="0"/>
    <xf numFmtId="4" fontId="0" fillId="3" borderId="30" pivotButton="0" quotePrefix="0" xfId="0"/>
    <xf numFmtId="49" fontId="0" fillId="0" borderId="31" pivotButton="0" quotePrefix="0" xfId="0"/>
    <xf numFmtId="2" fontId="11" fillId="3" borderId="24" pivotButton="0" quotePrefix="0" xfId="0"/>
    <xf numFmtId="49" fontId="9" fillId="41" borderId="19" pivotButton="0" quotePrefix="0" xfId="0"/>
    <xf numFmtId="0" fontId="9" fillId="41" borderId="20" pivotButton="0" quotePrefix="0" xfId="0"/>
    <xf numFmtId="0" fontId="10" fillId="41" borderId="20" pivotButton="0" quotePrefix="0" xfId="0"/>
    <xf numFmtId="49" fontId="0" fillId="9" borderId="19" pivotButton="0" quotePrefix="0" xfId="0"/>
    <xf numFmtId="0" fontId="0" fillId="9" borderId="20" pivotButton="0" quotePrefix="0" xfId="0"/>
    <xf numFmtId="167" fontId="11" fillId="9" borderId="20" pivotButton="0" quotePrefix="0" xfId="0"/>
    <xf numFmtId="171" fontId="11" fillId="9" borderId="20" pivotButton="0" quotePrefix="0" xfId="0"/>
    <xf numFmtId="0" fontId="11" fillId="9" borderId="20" pivotButton="0" quotePrefix="0" xfId="0"/>
    <xf numFmtId="49" fontId="17" fillId="3" borderId="15" pivotButton="0" quotePrefix="0" xfId="0"/>
    <xf numFmtId="49" fontId="0" fillId="3" borderId="15" applyAlignment="1" pivotButton="0" quotePrefix="0" xfId="0">
      <alignment horizontal="center"/>
    </xf>
    <xf numFmtId="171" fontId="11" fillId="42" borderId="20" pivotButton="0" quotePrefix="0" xfId="0"/>
    <xf numFmtId="167" fontId="11" fillId="42" borderId="20" pivotButton="0" quotePrefix="0" xfId="0"/>
    <xf numFmtId="0" fontId="11" fillId="19" borderId="20" pivotButton="0" quotePrefix="0" xfId="0"/>
    <xf numFmtId="0" fontId="11" fillId="42" borderId="20" pivotButton="0" quotePrefix="0" xfId="0"/>
    <xf numFmtId="49" fontId="0" fillId="3" borderId="27" applyAlignment="1" pivotButton="0" quotePrefix="0" xfId="0">
      <alignment horizontal="center"/>
    </xf>
    <xf numFmtId="172" fontId="11" fillId="42" borderId="20" pivotButton="0" quotePrefix="0" xfId="0"/>
    <xf numFmtId="0" fontId="0" fillId="3" borderId="32" pivotButton="0" quotePrefix="0" xfId="0"/>
    <xf numFmtId="167" fontId="0" fillId="3" borderId="24" applyAlignment="1" pivotButton="0" quotePrefix="0" xfId="0">
      <alignment horizontal="center"/>
    </xf>
    <xf numFmtId="2" fontId="11" fillId="19" borderId="20" pivotButton="0" quotePrefix="0" xfId="0"/>
    <xf numFmtId="167" fontId="11" fillId="3" borderId="24" pivotButton="0" quotePrefix="0" xfId="0"/>
    <xf numFmtId="167" fontId="11" fillId="3" borderId="15" pivotButton="0" quotePrefix="0" xfId="0"/>
    <xf numFmtId="49" fontId="0" fillId="7" borderId="19" pivotButton="0" quotePrefix="0" xfId="0"/>
    <xf numFmtId="0" fontId="0" fillId="3" borderId="18" applyAlignment="1" pivotButton="0" quotePrefix="0" xfId="0">
      <alignment horizontal="center"/>
    </xf>
    <xf numFmtId="0" fontId="0" fillId="3" borderId="15" applyAlignment="1" pivotButton="0" quotePrefix="0" xfId="0">
      <alignment horizontal="center"/>
    </xf>
    <xf numFmtId="171" fontId="0" fillId="3" borderId="15" applyAlignment="1" pivotButton="0" quotePrefix="0" xfId="0">
      <alignment horizontal="center"/>
    </xf>
    <xf numFmtId="49" fontId="11" fillId="3" borderId="15" applyAlignment="1" pivotButton="0" quotePrefix="0" xfId="0">
      <alignment horizontal="center"/>
    </xf>
    <xf numFmtId="49" fontId="15" fillId="7" borderId="19" pivotButton="0" quotePrefix="0" xfId="0"/>
    <xf numFmtId="0" fontId="15" fillId="3" borderId="18" pivotButton="0" quotePrefix="0" xfId="0"/>
    <xf numFmtId="0" fontId="15" fillId="3" borderId="15" pivotButton="0" quotePrefix="0" xfId="0"/>
    <xf numFmtId="49" fontId="13" fillId="3" borderId="27" pivotButton="0" quotePrefix="0" xfId="0"/>
    <xf numFmtId="167" fontId="13" fillId="3" borderId="14" pivotButton="0" quotePrefix="0" xfId="0"/>
    <xf numFmtId="171" fontId="11" fillId="42" borderId="33" pivotButton="0" quotePrefix="0" xfId="0"/>
    <xf numFmtId="171" fontId="11" fillId="42" borderId="34" pivotButton="0" quotePrefix="0" xfId="0"/>
    <xf numFmtId="0" fontId="0" fillId="3" borderId="35" pivotButton="0" quotePrefix="0" xfId="0"/>
    <xf numFmtId="49" fontId="0" fillId="3" borderId="19" pivotButton="0" quotePrefix="0" xfId="0"/>
    <xf numFmtId="165" fontId="11" fillId="43" borderId="20" pivotButton="0" quotePrefix="0" xfId="0"/>
    <xf numFmtId="0" fontId="11" fillId="3" borderId="20" pivotButton="0" quotePrefix="0" xfId="0"/>
    <xf numFmtId="0" fontId="0" fillId="3" borderId="36" pivotButton="0" quotePrefix="0" xfId="0"/>
    <xf numFmtId="0" fontId="0" fillId="3" borderId="27" pivotButton="0" quotePrefix="0" xfId="0"/>
    <xf numFmtId="49" fontId="9" fillId="44" borderId="19" pivotButton="0" quotePrefix="0" xfId="0"/>
    <xf numFmtId="0" fontId="0" fillId="44" borderId="20" pivotButton="0" quotePrefix="0" xfId="0"/>
    <xf numFmtId="167" fontId="0" fillId="3" borderId="24" pivotButton="0" quotePrefix="0" xfId="0"/>
    <xf numFmtId="49" fontId="11" fillId="3" borderId="28" pivotButton="0" quotePrefix="0" xfId="0"/>
    <xf numFmtId="1" fontId="11" fillId="42" borderId="20" applyAlignment="1" pivotButton="0" quotePrefix="0" xfId="0">
      <alignment horizontal="right"/>
    </xf>
    <xf numFmtId="49" fontId="11" fillId="3" borderId="32" applyAlignment="1" pivotButton="0" quotePrefix="0" xfId="0">
      <alignment horizontal="right"/>
    </xf>
    <xf numFmtId="0" fontId="0" fillId="42" borderId="20" pivotButton="0" quotePrefix="0" xfId="0"/>
    <xf numFmtId="167" fontId="13" fillId="3" borderId="18" pivotButton="0" quotePrefix="0" xfId="0"/>
    <xf numFmtId="165" fontId="13" fillId="3" borderId="15" pivotButton="0" quotePrefix="0" xfId="0"/>
    <xf numFmtId="2" fontId="11" fillId="19" borderId="20" applyAlignment="1" pivotButton="0" quotePrefix="0" xfId="0">
      <alignment horizontal="right"/>
    </xf>
    <xf numFmtId="167" fontId="15" fillId="3" borderId="15" pivotButton="0" quotePrefix="0" xfId="0"/>
    <xf numFmtId="0" fontId="10" fillId="3" borderId="15" pivotButton="0" quotePrefix="0" xfId="0"/>
    <xf numFmtId="0" fontId="11" fillId="3" borderId="15" pivotButton="0" quotePrefix="0" xfId="0"/>
    <xf numFmtId="2" fontId="11" fillId="3" borderId="24" applyAlignment="1" pivotButton="0" quotePrefix="0" xfId="0">
      <alignment horizontal="right"/>
    </xf>
    <xf numFmtId="173" fontId="13" fillId="3" borderId="15" pivotButton="0" quotePrefix="0" xfId="0"/>
    <xf numFmtId="167" fontId="13" fillId="3" borderId="15" pivotButton="0" quotePrefix="0" xfId="0"/>
    <xf numFmtId="49" fontId="18" fillId="3" borderId="15" pivotButton="0" quotePrefix="0" xfId="0"/>
    <xf numFmtId="167" fontId="11" fillId="3" borderId="15" applyAlignment="1" pivotButton="0" quotePrefix="0" xfId="0">
      <alignment horizontal="right"/>
    </xf>
    <xf numFmtId="4" fontId="0" fillId="0" borderId="0" pivotButton="0" quotePrefix="0" xfId="0"/>
    <xf numFmtId="0" fontId="0" fillId="0" borderId="37" pivotButton="1" quotePrefix="0" xfId="0"/>
    <xf numFmtId="0" fontId="0" fillId="0" borderId="38" pivotButton="1" quotePrefix="0" xfId="0"/>
    <xf numFmtId="0" fontId="0" fillId="0" borderId="38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37" pivotButton="0" quotePrefix="0" xfId="0"/>
    <xf numFmtId="0" fontId="0" fillId="0" borderId="41" pivotButton="0" quotePrefix="0" xfId="0"/>
    <xf numFmtId="0" fontId="0" fillId="0" borderId="42" pivotButton="0" quotePrefix="0" xfId="0"/>
    <xf numFmtId="0" fontId="0" fillId="0" borderId="43" pivotButton="0" quotePrefix="0" xfId="0"/>
    <xf numFmtId="0" fontId="0" fillId="0" borderId="44" pivotButton="0" quotePrefix="0" xfId="0"/>
    <xf numFmtId="0" fontId="0" fillId="0" borderId="46" pivotButton="0" quotePrefix="0" xfId="0"/>
    <xf numFmtId="165" fontId="0" fillId="45" borderId="0" applyAlignment="1" pivotButton="0" quotePrefix="0" xfId="0">
      <alignment horizontal="left"/>
    </xf>
    <xf numFmtId="164" fontId="0" fillId="45" borderId="0" applyAlignment="1" pivotButton="0" quotePrefix="0" xfId="0">
      <alignment horizontal="left"/>
    </xf>
    <xf numFmtId="0" fontId="9" fillId="45" borderId="0" pivotButton="0" quotePrefix="0" xfId="0"/>
    <xf numFmtId="173" fontId="0" fillId="0" borderId="0" pivotButton="0" quotePrefix="0" xfId="0"/>
    <xf numFmtId="2" fontId="0" fillId="0" borderId="0" pivotButton="0" quotePrefix="0" xfId="0"/>
    <xf numFmtId="0" fontId="12" fillId="0" borderId="0" pivotButton="0" quotePrefix="0" xfId="0"/>
    <xf numFmtId="0" fontId="9" fillId="46" borderId="0" pivotButton="0" quotePrefix="0" xfId="0"/>
    <xf numFmtId="0" fontId="11" fillId="0" borderId="0" pivotButton="0" quotePrefix="0" xfId="0"/>
    <xf numFmtId="1" fontId="9" fillId="46" borderId="0" pivotButton="0" quotePrefix="0" xfId="0"/>
    <xf numFmtId="0" fontId="0" fillId="47" borderId="0" pivotButton="0" quotePrefix="0" xfId="0"/>
    <xf numFmtId="0" fontId="11" fillId="47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1" fillId="47" borderId="0" pivotButton="0" quotePrefix="0" xfId="0"/>
    <xf numFmtId="0" fontId="0" fillId="48" borderId="0" pivotButton="0" quotePrefix="0" xfId="0"/>
    <xf numFmtId="0" fontId="21" fillId="48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0" fontId="11" fillId="48" borderId="0" pivotButton="0" quotePrefix="0" xfId="0"/>
    <xf numFmtId="0" fontId="0" fillId="49" borderId="0" pivotButton="0" quotePrefix="0" xfId="0"/>
    <xf numFmtId="0" fontId="11" fillId="49" borderId="0" pivotButton="0" quotePrefix="0" xfId="0"/>
    <xf numFmtId="0" fontId="2" fillId="30" borderId="26" pivotButton="0" quotePrefix="0" xfId="1"/>
    <xf numFmtId="0" fontId="2" fillId="21" borderId="26" applyAlignment="1" pivotButton="0" quotePrefix="0" xfId="1">
      <alignment horizontal="left"/>
    </xf>
    <xf numFmtId="0" fontId="2" fillId="27" borderId="26" applyAlignment="1" pivotButton="0" quotePrefix="0" xfId="1">
      <alignment horizontal="left"/>
    </xf>
    <xf numFmtId="0" fontId="2" fillId="18" borderId="26" applyAlignment="1" pivotButton="0" quotePrefix="0" xfId="1">
      <alignment horizontal="left"/>
    </xf>
    <xf numFmtId="0" fontId="2" fillId="50" borderId="26" applyAlignment="1" pivotButton="0" quotePrefix="0" xfId="1">
      <alignment horizontal="left"/>
    </xf>
    <xf numFmtId="0" fontId="2" fillId="5" borderId="26" applyAlignment="1" pivotButton="0" quotePrefix="0" xfId="1">
      <alignment horizontal="left"/>
    </xf>
    <xf numFmtId="0" fontId="19" fillId="0" borderId="26" pivotButton="0" quotePrefix="0" xfId="1"/>
    <xf numFmtId="2" fontId="2" fillId="27" borderId="26" pivotButton="0" quotePrefix="0" xfId="1"/>
    <xf numFmtId="2" fontId="2" fillId="24" borderId="26" pivotButton="0" quotePrefix="0" xfId="1"/>
    <xf numFmtId="2" fontId="2" fillId="21" borderId="26" applyAlignment="1" pivotButton="0" quotePrefix="0" xfId="1">
      <alignment horizontal="left"/>
    </xf>
    <xf numFmtId="2" fontId="2" fillId="18" borderId="26" applyAlignment="1" pivotButton="0" quotePrefix="0" xfId="1">
      <alignment horizontal="left"/>
    </xf>
    <xf numFmtId="2" fontId="2" fillId="50" borderId="26" applyAlignment="1" pivotButton="0" quotePrefix="0" xfId="1">
      <alignment horizontal="left"/>
    </xf>
    <xf numFmtId="2" fontId="2" fillId="5" borderId="26" applyAlignment="1" pivotButton="0" quotePrefix="0" xfId="1">
      <alignment horizontal="left"/>
    </xf>
    <xf numFmtId="0" fontId="2" fillId="27" borderId="26" pivotButton="0" quotePrefix="0" xfId="1"/>
    <xf numFmtId="0" fontId="2" fillId="24" borderId="26" pivotButton="0" quotePrefix="0" xfId="1"/>
    <xf numFmtId="165" fontId="2" fillId="21" borderId="26" applyAlignment="1" pivotButton="0" quotePrefix="0" xfId="1">
      <alignment horizontal="left"/>
    </xf>
    <xf numFmtId="165" fontId="2" fillId="18" borderId="26" applyAlignment="1" pivotButton="0" quotePrefix="0" xfId="1">
      <alignment horizontal="left"/>
    </xf>
    <xf numFmtId="165" fontId="2" fillId="50" borderId="26" applyAlignment="1" pivotButton="0" quotePrefix="0" xfId="1">
      <alignment horizontal="left"/>
    </xf>
    <xf numFmtId="165" fontId="2" fillId="5" borderId="26" applyAlignment="1" pivotButton="0" quotePrefix="0" xfId="1">
      <alignment horizontal="left"/>
    </xf>
    <xf numFmtId="2" fontId="2" fillId="18" borderId="26" pivotButton="0" quotePrefix="0" xfId="1"/>
    <xf numFmtId="0" fontId="2" fillId="18" borderId="26" pivotButton="0" quotePrefix="0" xfId="1"/>
    <xf numFmtId="0" fontId="2" fillId="2" borderId="26" pivotButton="0" quotePrefix="0" xfId="1"/>
    <xf numFmtId="165" fontId="2" fillId="25" borderId="26" pivotButton="0" quotePrefix="0" xfId="1"/>
    <xf numFmtId="165" fontId="2" fillId="20" borderId="26" pivotButton="0" quotePrefix="0" xfId="1"/>
    <xf numFmtId="0" fontId="2" fillId="20" borderId="26" pivotButton="0" quotePrefix="0" xfId="1"/>
    <xf numFmtId="0" fontId="2" fillId="0" borderId="26" pivotButton="0" quotePrefix="0" xfId="1"/>
    <xf numFmtId="0" fontId="2" fillId="21" borderId="26" pivotButton="0" quotePrefix="0" xfId="1"/>
    <xf numFmtId="0" fontId="2" fillId="50" borderId="26" pivotButton="0" quotePrefix="0" xfId="1"/>
    <xf numFmtId="0" fontId="2" fillId="5" borderId="26" pivotButton="0" quotePrefix="0" xfId="1"/>
    <xf numFmtId="4" fontId="2" fillId="21" borderId="26" pivotButton="0" quotePrefix="0" xfId="1"/>
    <xf numFmtId="0" fontId="1" fillId="2" borderId="26" pivotButton="0" quotePrefix="0" xfId="1"/>
    <xf numFmtId="0" fontId="2" fillId="3" borderId="26" pivotButton="0" quotePrefix="0" xfId="1"/>
    <xf numFmtId="164" fontId="2" fillId="3" borderId="26" pivotButton="0" quotePrefix="0" xfId="1"/>
    <xf numFmtId="164" fontId="2" fillId="2" borderId="26" pivotButton="0" quotePrefix="0" xfId="1"/>
    <xf numFmtId="164" fontId="2" fillId="27" borderId="26" applyAlignment="1" pivotButton="0" quotePrefix="0" xfId="1">
      <alignment horizontal="left"/>
    </xf>
    <xf numFmtId="0" fontId="2" fillId="12" borderId="26" pivotButton="0" quotePrefix="0" xfId="1"/>
    <xf numFmtId="164" fontId="2" fillId="12" borderId="26" pivotButton="0" quotePrefix="0" xfId="1"/>
    <xf numFmtId="164" fontId="8" fillId="27" borderId="26" applyAlignment="1" pivotButton="0" quotePrefix="0" xfId="1">
      <alignment horizontal="left"/>
    </xf>
    <xf numFmtId="165" fontId="2" fillId="12" borderId="26" pivotButton="0" quotePrefix="0" xfId="1"/>
    <xf numFmtId="165" fontId="2" fillId="2" borderId="26" pivotButton="0" quotePrefix="0" xfId="1"/>
    <xf numFmtId="165" fontId="2" fillId="27" borderId="26" applyAlignment="1" pivotButton="0" quotePrefix="0" xfId="1">
      <alignment horizontal="left"/>
    </xf>
    <xf numFmtId="0" fontId="2" fillId="13" borderId="26" pivotButton="0" quotePrefix="0" xfId="1"/>
    <xf numFmtId="164" fontId="2" fillId="13" borderId="26" pivotButton="0" quotePrefix="0" xfId="1"/>
    <xf numFmtId="165" fontId="2" fillId="13" borderId="26" pivotButton="0" quotePrefix="0" xfId="1"/>
    <xf numFmtId="0" fontId="2" fillId="14" borderId="26" pivotButton="0" quotePrefix="0" xfId="1"/>
    <xf numFmtId="164" fontId="2" fillId="14" borderId="26" pivotButton="0" quotePrefix="0" xfId="1"/>
    <xf numFmtId="165" fontId="2" fillId="14" borderId="26" pivotButton="0" quotePrefix="0" xfId="1"/>
    <xf numFmtId="165" fontId="2" fillId="3" borderId="26" pivotButton="0" quotePrefix="0" xfId="1"/>
    <xf numFmtId="165" fontId="2" fillId="3" borderId="26" applyAlignment="1" pivotButton="0" quotePrefix="0" xfId="1">
      <alignment horizontal="left"/>
    </xf>
    <xf numFmtId="0" fontId="22" fillId="0" borderId="0" pivotButton="0" quotePrefix="0" xfId="0"/>
    <xf numFmtId="0" fontId="23" fillId="0" borderId="0" pivotButton="0" quotePrefix="0" xfId="0"/>
    <xf numFmtId="0" fontId="24" fillId="51" borderId="0" pivotButton="0" quotePrefix="0" xfId="0"/>
    <xf numFmtId="0" fontId="0" fillId="51" borderId="0" pivotButton="0" quotePrefix="0" xfId="0"/>
    <xf numFmtId="1" fontId="0" fillId="0" borderId="0" pivotButton="0" quotePrefix="0" xfId="0"/>
    <xf numFmtId="0" fontId="11" fillId="52" borderId="0" pivotButton="0" quotePrefix="0" xfId="0"/>
    <xf numFmtId="2" fontId="11" fillId="0" borderId="0" pivotButton="0" quotePrefix="0" xfId="0"/>
    <xf numFmtId="2" fontId="11" fillId="52" borderId="0" pivotButton="0" quotePrefix="0" xfId="0"/>
    <xf numFmtId="1" fontId="11" fillId="52" borderId="0" pivotButton="0" quotePrefix="0" xfId="0"/>
    <xf numFmtId="0" fontId="25" fillId="0" borderId="0" pivotButton="0" quotePrefix="0" xfId="0"/>
    <xf numFmtId="0" fontId="26" fillId="0" borderId="0" pivotButton="0" quotePrefix="0" xfId="0"/>
    <xf numFmtId="174" fontId="0" fillId="0" borderId="0" pivotButton="0" quotePrefix="0" xfId="0"/>
    <xf numFmtId="175" fontId="0" fillId="0" borderId="0" pivotButton="0" quotePrefix="0" xfId="0"/>
    <xf numFmtId="0" fontId="27" fillId="0" borderId="0" pivotButton="0" quotePrefix="0" xfId="0"/>
    <xf numFmtId="165" fontId="20" fillId="52" borderId="0" pivotButton="0" quotePrefix="0" xfId="0"/>
    <xf numFmtId="0" fontId="0" fillId="52" borderId="0" pivotButton="0" quotePrefix="0" xfId="0"/>
    <xf numFmtId="165" fontId="0" fillId="52" borderId="0" pivotButton="0" quotePrefix="0" xfId="0"/>
    <xf numFmtId="174" fontId="0" fillId="52" borderId="0" pivotButton="0" quotePrefix="0" xfId="0"/>
    <xf numFmtId="175" fontId="0" fillId="52" borderId="0" pivotButton="0" quotePrefix="0" xfId="0"/>
    <xf numFmtId="0" fontId="28" fillId="52" borderId="0" pivotButton="0" quotePrefix="0" xfId="0"/>
    <xf numFmtId="0" fontId="29" fillId="0" borderId="0" pivotButton="0" quotePrefix="0" xfId="0"/>
    <xf numFmtId="167" fontId="20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21" fillId="53" borderId="0" pivotButton="0" quotePrefix="0" xfId="0"/>
    <xf numFmtId="0" fontId="34" fillId="0" borderId="0" pivotButton="0" quotePrefix="0" xfId="0"/>
    <xf numFmtId="0" fontId="36" fillId="0" borderId="0" pivotButton="0" quotePrefix="0" xfId="0"/>
    <xf numFmtId="0" fontId="20" fillId="53" borderId="0" pivotButton="0" quotePrefix="0" xfId="0"/>
    <xf numFmtId="164" fontId="20" fillId="53" borderId="0" pivotButton="0" quotePrefix="0" xfId="0"/>
    <xf numFmtId="0" fontId="11" fillId="0" borderId="49" pivotButton="0" quotePrefix="0" xfId="0"/>
    <xf numFmtId="0" fontId="0" fillId="0" borderId="49" pivotButton="0" quotePrefix="0" xfId="0"/>
    <xf numFmtId="0" fontId="0" fillId="0" borderId="50" pivotButton="0" quotePrefix="0" xfId="0"/>
    <xf numFmtId="2" fontId="0" fillId="0" borderId="50" pivotButton="0" quotePrefix="0" xfId="0"/>
    <xf numFmtId="164" fontId="20" fillId="53" borderId="50" pivotButton="0" quotePrefix="0" xfId="0"/>
    <xf numFmtId="176" fontId="0" fillId="0" borderId="50" pivotButton="0" quotePrefix="0" xfId="0"/>
    <xf numFmtId="0" fontId="0" fillId="0" borderId="51" pivotButton="0" quotePrefix="0" xfId="0"/>
    <xf numFmtId="2" fontId="0" fillId="0" borderId="51" pivotButton="0" quotePrefix="0" xfId="0"/>
    <xf numFmtId="164" fontId="20" fillId="53" borderId="51" pivotButton="0" quotePrefix="0" xfId="0"/>
    <xf numFmtId="176" fontId="0" fillId="0" borderId="51" pivotButton="0" quotePrefix="0" xfId="0"/>
    <xf numFmtId="0" fontId="9" fillId="54" borderId="53" pivotButton="0" quotePrefix="0" xfId="0"/>
    <xf numFmtId="0" fontId="9" fillId="54" borderId="54" pivotButton="0" quotePrefix="0" xfId="0"/>
    <xf numFmtId="0" fontId="11" fillId="0" borderId="55" pivotButton="0" quotePrefix="0" xfId="0"/>
    <xf numFmtId="0" fontId="11" fillId="0" borderId="56" pivotButton="0" quotePrefix="0" xfId="0"/>
    <xf numFmtId="0" fontId="9" fillId="54" borderId="57" pivotButton="0" quotePrefix="0" xfId="0"/>
    <xf numFmtId="0" fontId="0" fillId="0" borderId="58" pivotButton="0" quotePrefix="0" xfId="0"/>
    <xf numFmtId="0" fontId="0" fillId="0" borderId="59" pivotButton="0" quotePrefix="0" xfId="0"/>
    <xf numFmtId="0" fontId="21" fillId="53" borderId="49" pivotButton="0" quotePrefix="0" xfId="0"/>
    <xf numFmtId="164" fontId="21" fillId="53" borderId="49" pivotButton="0" quotePrefix="0" xfId="0"/>
    <xf numFmtId="1" fontId="21" fillId="53" borderId="49" pivotButton="0" quotePrefix="0" xfId="0"/>
    <xf numFmtId="0" fontId="33" fillId="0" borderId="49" pivotButton="0" quotePrefix="0" xfId="0"/>
    <xf numFmtId="2" fontId="11" fillId="0" borderId="49" pivotButton="0" quotePrefix="0" xfId="0"/>
    <xf numFmtId="0" fontId="35" fillId="0" borderId="49" pivotButton="0" quotePrefix="0" xfId="0"/>
    <xf numFmtId="176" fontId="35" fillId="0" borderId="49" pivotButton="0" quotePrefix="0" xfId="0"/>
    <xf numFmtId="177" fontId="11" fillId="0" borderId="49" pivotButton="0" quotePrefix="0" xfId="0"/>
    <xf numFmtId="0" fontId="11" fillId="0" borderId="52" pivotButton="0" quotePrefix="0" xfId="0"/>
    <xf numFmtId="0" fontId="33" fillId="0" borderId="60" pivotButton="0" quotePrefix="0" xfId="0"/>
    <xf numFmtId="0" fontId="0" fillId="0" borderId="60" pivotButton="0" quotePrefix="0" xfId="0"/>
    <xf numFmtId="0" fontId="11" fillId="55" borderId="0" pivotButton="0" quotePrefix="0" xfId="0"/>
    <xf numFmtId="0" fontId="0" fillId="55" borderId="0" pivotButton="0" quotePrefix="0" xfId="0"/>
    <xf numFmtId="165" fontId="20" fillId="53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25" fillId="56" borderId="0" pivotButton="0" quotePrefix="0" xfId="0"/>
    <xf numFmtId="0" fontId="25" fillId="49" borderId="0" pivotButton="0" quotePrefix="0" xfId="0"/>
    <xf numFmtId="0" fontId="25" fillId="53" borderId="0" pivotButton="0" quotePrefix="0" xfId="0"/>
    <xf numFmtId="0" fontId="25" fillId="48" borderId="0" pivotButton="0" quotePrefix="0" xfId="0"/>
    <xf numFmtId="0" fontId="25" fillId="57" borderId="0" pivotButton="0" quotePrefix="0" xfId="0"/>
    <xf numFmtId="0" fontId="11" fillId="58" borderId="0" pivotButton="0" quotePrefix="0" xfId="0"/>
    <xf numFmtId="0" fontId="0" fillId="58" borderId="0" pivotButton="0" quotePrefix="0" xfId="0"/>
    <xf numFmtId="0" fontId="0" fillId="56" borderId="0" pivotButton="0" quotePrefix="0" xfId="0"/>
    <xf numFmtId="0" fontId="11" fillId="56" borderId="0" pivotButton="0" quotePrefix="0" xfId="0"/>
    <xf numFmtId="0" fontId="0" fillId="53" borderId="0" pivotButton="0" quotePrefix="0" xfId="0"/>
    <xf numFmtId="0" fontId="11" fillId="53" borderId="0" pivotButton="0" quotePrefix="0" xfId="0"/>
    <xf numFmtId="0" fontId="0" fillId="57" borderId="0" pivotButton="0" quotePrefix="0" xfId="0"/>
    <xf numFmtId="0" fontId="0" fillId="59" borderId="0" applyAlignment="1" pivotButton="0" quotePrefix="0" xfId="0">
      <alignment horizontal="center"/>
    </xf>
    <xf numFmtId="165" fontId="20" fillId="60" borderId="0" pivotButton="0" quotePrefix="0" xfId="0"/>
    <xf numFmtId="165" fontId="0" fillId="48" borderId="0" pivotButton="0" quotePrefix="0" xfId="0"/>
    <xf numFmtId="0" fontId="25" fillId="61" borderId="0" pivotButton="0" quotePrefix="0" xfId="0"/>
    <xf numFmtId="0" fontId="25" fillId="62" borderId="0" pivotButton="0" quotePrefix="0" xfId="0"/>
    <xf numFmtId="0" fontId="25" fillId="63" borderId="0" pivotButton="0" quotePrefix="0" xfId="0"/>
    <xf numFmtId="0" fontId="25" fillId="64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4" fillId="0" borderId="0" pivotButton="0" quotePrefix="0" xfId="0"/>
    <xf numFmtId="0" fontId="11" fillId="59" borderId="0" applyAlignment="1" pivotButton="0" quotePrefix="0" xfId="0">
      <alignment horizontal="center"/>
    </xf>
    <xf numFmtId="165" fontId="0" fillId="56" borderId="0" pivotButton="0" quotePrefix="0" xfId="0"/>
    <xf numFmtId="164" fontId="0" fillId="56" borderId="0" pivotButton="0" quotePrefix="0" xfId="0"/>
    <xf numFmtId="164" fontId="0" fillId="49" borderId="0" pivotButton="0" quotePrefix="0" xfId="0"/>
    <xf numFmtId="165" fontId="0" fillId="49" borderId="0" pivotButton="0" quotePrefix="0" xfId="0"/>
    <xf numFmtId="0" fontId="0" fillId="0" borderId="0" applyAlignment="1" pivotButton="0" quotePrefix="0" xfId="0">
      <alignment horizontal="center"/>
    </xf>
    <xf numFmtId="0" fontId="32" fillId="53" borderId="0" applyAlignment="1" pivotButton="0" quotePrefix="0" xfId="0">
      <alignment horizontal="center"/>
    </xf>
    <xf numFmtId="0" fontId="39" fillId="53" borderId="0" applyAlignment="1" pivotButton="0" quotePrefix="0" xfId="0">
      <alignment horizontal="center"/>
    </xf>
    <xf numFmtId="0" fontId="41" fillId="53" borderId="0" applyAlignment="1" pivotButton="0" quotePrefix="0" xfId="0">
      <alignment horizontal="center"/>
    </xf>
    <xf numFmtId="0" fontId="43" fillId="53" borderId="0" applyAlignment="1" pivotButton="0" quotePrefix="0" xfId="0">
      <alignment horizontal="center"/>
    </xf>
    <xf numFmtId="165" fontId="0" fillId="65" borderId="0" pivotButton="0" quotePrefix="0" xfId="0"/>
    <xf numFmtId="0" fontId="0" fillId="62" borderId="0" pivotButton="0" quotePrefix="0" xfId="0"/>
    <xf numFmtId="0" fontId="36" fillId="45" borderId="0" pivotButton="0" quotePrefix="0" xfId="0"/>
    <xf numFmtId="0" fontId="11" fillId="0" borderId="0" applyAlignment="1" pivotButton="0" quotePrefix="0" xfId="0">
      <alignment horizontal="center"/>
    </xf>
    <xf numFmtId="0" fontId="11" fillId="66" borderId="0" applyAlignment="1" pivotButton="0" quotePrefix="0" xfId="0">
      <alignment horizontal="center"/>
    </xf>
    <xf numFmtId="0" fontId="0" fillId="66" borderId="0" applyAlignment="1" pivotButton="0" quotePrefix="0" xfId="0">
      <alignment horizontal="center"/>
    </xf>
    <xf numFmtId="164" fontId="20" fillId="0" borderId="0" pivotButton="0" quotePrefix="0" xfId="0"/>
    <xf numFmtId="0" fontId="33" fillId="66" borderId="0" pivotButton="0" quotePrefix="0" xfId="0"/>
    <xf numFmtId="0" fontId="45" fillId="66" borderId="0" pivotButton="0" quotePrefix="0" xfId="0"/>
    <xf numFmtId="0" fontId="25" fillId="67" borderId="0" pivotButton="0" quotePrefix="0" xfId="0"/>
    <xf numFmtId="0" fontId="46" fillId="0" borderId="0" pivotButton="0" quotePrefix="0" xfId="0"/>
    <xf numFmtId="165" fontId="0" fillId="67" borderId="0" pivotButton="0" quotePrefix="0" xfId="0"/>
    <xf numFmtId="0" fontId="0" fillId="67" borderId="0" pivotButton="0" quotePrefix="0" xfId="0"/>
    <xf numFmtId="0" fontId="47" fillId="67" borderId="0" pivotButton="0" quotePrefix="0" xfId="0"/>
    <xf numFmtId="165" fontId="0" fillId="61" borderId="0" pivotButton="0" quotePrefix="0" xfId="0"/>
    <xf numFmtId="0" fontId="0" fillId="61" borderId="0" pivotButton="0" quotePrefix="0" xfId="0"/>
    <xf numFmtId="0" fontId="47" fillId="61" borderId="0" pivotButton="0" quotePrefix="0" xfId="0"/>
    <xf numFmtId="167" fontId="0" fillId="0" borderId="0" pivotButton="0" quotePrefix="0" xfId="0"/>
    <xf numFmtId="167" fontId="0" fillId="57" borderId="0" pivotButton="0" quotePrefix="0" xfId="0"/>
    <xf numFmtId="165" fontId="0" fillId="57" borderId="0" pivotButton="0" quotePrefix="0" xfId="0"/>
    <xf numFmtId="178" fontId="0" fillId="57" borderId="0" pivotButton="0" quotePrefix="0" xfId="0"/>
    <xf numFmtId="0" fontId="11" fillId="68" borderId="0" pivotButton="0" quotePrefix="0" xfId="0"/>
    <xf numFmtId="0" fontId="11" fillId="69" borderId="0" pivotButton="0" quotePrefix="0" xfId="0"/>
    <xf numFmtId="0" fontId="46" fillId="59" borderId="0" applyAlignment="1" pivotButton="0" quotePrefix="0" xfId="0">
      <alignment horizontal="center"/>
    </xf>
    <xf numFmtId="0" fontId="47" fillId="0" borderId="0" pivotButton="0" quotePrefix="0" xfId="0"/>
    <xf numFmtId="0" fontId="0" fillId="68" borderId="0" pivotButton="0" quotePrefix="0" xfId="0"/>
    <xf numFmtId="165" fontId="0" fillId="68" borderId="0" pivotButton="0" quotePrefix="0" xfId="0"/>
    <xf numFmtId="0" fontId="0" fillId="69" borderId="0" pivotButton="0" quotePrefix="0" xfId="0"/>
    <xf numFmtId="165" fontId="0" fillId="69" borderId="0" pivotButton="0" quotePrefix="0" xfId="0"/>
    <xf numFmtId="0" fontId="35" fillId="67" borderId="0" pivotButton="0" quotePrefix="0" xfId="0"/>
    <xf numFmtId="0" fontId="48" fillId="0" borderId="0" pivotButton="0" quotePrefix="0" xfId="0"/>
    <xf numFmtId="3" fontId="0" fillId="0" borderId="0" pivotButton="0" quotePrefix="0" xfId="0"/>
    <xf numFmtId="0" fontId="35" fillId="57" borderId="0" pivotButton="0" quotePrefix="0" xfId="0"/>
    <xf numFmtId="0" fontId="49" fillId="49" borderId="0" pivotButton="0" quotePrefix="0" xfId="0"/>
    <xf numFmtId="2" fontId="0" fillId="52" borderId="0" pivotButton="0" quotePrefix="0" xfId="0"/>
    <xf numFmtId="164" fontId="0" fillId="52" borderId="0" pivotButton="0" quotePrefix="0" xfId="0"/>
    <xf numFmtId="0" fontId="35" fillId="62" borderId="0" pivotButton="0" quotePrefix="0" xfId="0"/>
    <xf numFmtId="0" fontId="35" fillId="64" borderId="0" pivotButton="0" quotePrefix="0" xfId="0"/>
    <xf numFmtId="0" fontId="50" fillId="0" borderId="0" pivotButton="0" quotePrefix="0" xfId="0"/>
    <xf numFmtId="0" fontId="11" fillId="49" borderId="0" applyAlignment="1" pivotButton="0" quotePrefix="0" xfId="0">
      <alignment wrapText="1"/>
    </xf>
    <xf numFmtId="0" fontId="49" fillId="49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1" fillId="48" borderId="0" applyAlignment="1" pivotButton="0" quotePrefix="0" xfId="0">
      <alignment wrapText="1"/>
    </xf>
    <xf numFmtId="0" fontId="0" fillId="0" borderId="0" applyAlignment="1" pivotButton="0" quotePrefix="0" xfId="0">
      <alignment horizontal="center" wrapText="1"/>
    </xf>
    <xf numFmtId="1" fontId="0" fillId="52" borderId="0" pivotButton="0" quotePrefix="0" xfId="0"/>
    <xf numFmtId="0" fontId="11" fillId="0" borderId="0" applyAlignment="1" pivotButton="0" quotePrefix="0" xfId="0">
      <alignment wrapText="1"/>
    </xf>
    <xf numFmtId="2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3" fontId="20" fillId="53" borderId="0" pivotButton="0" quotePrefix="0" xfId="0"/>
    <xf numFmtId="0" fontId="11" fillId="67" borderId="0" applyAlignment="1" pivotButton="0" quotePrefix="0" xfId="0">
      <alignment horizontal="center"/>
    </xf>
    <xf numFmtId="0" fontId="11" fillId="53" borderId="0" applyAlignment="1" pivotButton="0" quotePrefix="0" xfId="0">
      <alignment horizontal="center"/>
    </xf>
    <xf numFmtId="0" fontId="11" fillId="70" borderId="0" pivotButton="0" quotePrefix="0" xfId="0"/>
    <xf numFmtId="0" fontId="11" fillId="70" borderId="0" applyAlignment="1" pivotButton="0" quotePrefix="0" xfId="0">
      <alignment horizontal="center"/>
    </xf>
    <xf numFmtId="0" fontId="51" fillId="48" borderId="0" pivotButton="0" quotePrefix="0" xfId="0"/>
    <xf numFmtId="0" fontId="51" fillId="53" borderId="0" pivotButton="0" quotePrefix="0" xfId="0"/>
    <xf numFmtId="0" fontId="51" fillId="70" borderId="0" pivotButton="0" quotePrefix="0" xfId="0"/>
    <xf numFmtId="165" fontId="0" fillId="53" borderId="0" pivotButton="0" quotePrefix="0" xfId="0"/>
    <xf numFmtId="0" fontId="0" fillId="70" borderId="0" pivotButton="0" quotePrefix="0" xfId="0"/>
    <xf numFmtId="0" fontId="37" fillId="0" borderId="0" pivotButton="0" quotePrefix="1" xfId="0"/>
    <xf numFmtId="0" fontId="38" fillId="0" borderId="0" pivotButton="0" quotePrefix="1" xfId="0"/>
    <xf numFmtId="0" fontId="52" fillId="0" borderId="0" pivotButton="0" quotePrefix="0" xfId="0"/>
    <xf numFmtId="0" fontId="35" fillId="48" borderId="0" pivotButton="0" quotePrefix="0" xfId="0"/>
    <xf numFmtId="0" fontId="53" fillId="0" borderId="0" pivotButton="0" quotePrefix="0" xfId="0"/>
    <xf numFmtId="168" fontId="0" fillId="0" borderId="0" pivotButton="0" quotePrefix="0" xfId="0"/>
    <xf numFmtId="16" fontId="0" fillId="0" borderId="0" pivotButton="0" quotePrefix="0" xfId="0"/>
    <xf numFmtId="16" fontId="20" fillId="53" borderId="0" pivotButton="0" quotePrefix="0" xfId="0"/>
    <xf numFmtId="168" fontId="11" fillId="0" borderId="0" pivotButton="0" quotePrefix="0" xfId="0"/>
    <xf numFmtId="0" fontId="11" fillId="57" borderId="0" pivotButton="0" quotePrefix="0" xfId="0"/>
    <xf numFmtId="0" fontId="35" fillId="53" borderId="0" pivotButton="0" quotePrefix="0" xfId="0"/>
    <xf numFmtId="0" fontId="11" fillId="65" borderId="0" pivotButton="0" quotePrefix="0" xfId="0"/>
    <xf numFmtId="178" fontId="20" fillId="53" borderId="0" pivotButton="0" quotePrefix="0" xfId="0"/>
    <xf numFmtId="179" fontId="0" fillId="0" borderId="0" pivotButton="0" quotePrefix="0" xfId="0"/>
    <xf numFmtId="0" fontId="54" fillId="0" borderId="0" pivotButton="0" quotePrefix="0" xfId="0"/>
    <xf numFmtId="0" fontId="55" fillId="0" borderId="0" pivotButton="0" quotePrefix="0" xfId="0"/>
    <xf numFmtId="167" fontId="0" fillId="52" borderId="0" pivotButton="0" quotePrefix="0" xfId="0"/>
    <xf numFmtId="179" fontId="0" fillId="52" borderId="0" pivotButton="0" quotePrefix="0" xfId="0"/>
    <xf numFmtId="164" fontId="11" fillId="0" borderId="0" pivotButton="0" quotePrefix="0" xfId="0"/>
    <xf numFmtId="0" fontId="56" fillId="0" borderId="0" pivotButton="0" quotePrefix="0" xfId="0"/>
    <xf numFmtId="0" fontId="35" fillId="61" borderId="0" pivotButton="0" quotePrefix="0" xfId="0"/>
    <xf numFmtId="180" fontId="0" fillId="0" borderId="0" pivotButton="0" quotePrefix="0" xfId="0"/>
    <xf numFmtId="181" fontId="0" fillId="0" borderId="0" pivotButton="0" quotePrefix="0" xfId="0"/>
    <xf numFmtId="0" fontId="59" fillId="0" borderId="0" pivotButton="0" quotePrefix="0" xfId="0"/>
    <xf numFmtId="0" fontId="11" fillId="61" borderId="0" pivotButton="0" quotePrefix="0" xfId="0"/>
    <xf numFmtId="0" fontId="21" fillId="49" borderId="0" pivotButton="0" quotePrefix="0" xfId="0"/>
    <xf numFmtId="2" fontId="20" fillId="53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35" fillId="49" borderId="0" pivotButton="0" quotePrefix="0" xfId="0"/>
    <xf numFmtId="0" fontId="62" fillId="0" borderId="0" pivotButton="0" quotePrefix="0" xfId="0"/>
    <xf numFmtId="0" fontId="11" fillId="49" borderId="0" pivotButton="0" quotePrefix="1" xfId="0"/>
    <xf numFmtId="0" fontId="11" fillId="71" borderId="0" pivotButton="0" quotePrefix="0" xfId="0"/>
    <xf numFmtId="0" fontId="11" fillId="72" borderId="0" pivotButton="0" quotePrefix="0" xfId="0"/>
    <xf numFmtId="0" fontId="11" fillId="73" borderId="0" pivotButton="0" quotePrefix="0" xfId="0"/>
    <xf numFmtId="2" fontId="0" fillId="62" borderId="0" pivotButton="0" quotePrefix="0" xfId="0"/>
    <xf numFmtId="2" fontId="0" fillId="49" borderId="0" pivotButton="0" quotePrefix="0" xfId="0"/>
    <xf numFmtId="165" fontId="11" fillId="0" borderId="0" pivotButton="0" quotePrefix="0" xfId="0"/>
    <xf numFmtId="2" fontId="11" fillId="62" borderId="0" pivotButton="0" quotePrefix="0" xfId="0"/>
    <xf numFmtId="2" fontId="11" fillId="49" borderId="0" pivotButton="0" quotePrefix="0" xfId="0"/>
    <xf numFmtId="2" fontId="0" fillId="56" borderId="0" pivotButton="0" quotePrefix="0" xfId="0"/>
    <xf numFmtId="164" fontId="20" fillId="49" borderId="0" pivotButton="0" quotePrefix="0" xfId="0"/>
    <xf numFmtId="2" fontId="0" fillId="53" borderId="0" pivotButton="0" quotePrefix="0" xfId="0"/>
    <xf numFmtId="0" fontId="63" fillId="0" borderId="0" pivotButton="0" quotePrefix="0" xfId="0"/>
    <xf numFmtId="0" fontId="64" fillId="0" borderId="0" pivotButton="0" quotePrefix="0" xfId="0"/>
    <xf numFmtId="0" fontId="65" fillId="0" borderId="0" pivotButton="0" quotePrefix="0" xfId="0"/>
    <xf numFmtId="0" fontId="66" fillId="46" borderId="0" pivotButton="0" quotePrefix="0" xfId="0"/>
    <xf numFmtId="0" fontId="0" fillId="46" borderId="0" pivotButton="0" quotePrefix="0" xfId="0"/>
    <xf numFmtId="1" fontId="20" fillId="53" borderId="0" pivotButton="0" quotePrefix="0" xfId="0"/>
    <xf numFmtId="0" fontId="66" fillId="74" borderId="0" pivotButton="0" quotePrefix="0" xfId="0"/>
    <xf numFmtId="0" fontId="0" fillId="74" borderId="0" pivotButton="0" quotePrefix="0" xfId="0"/>
    <xf numFmtId="0" fontId="67" fillId="0" borderId="0" pivotButton="0" quotePrefix="0" xfId="0"/>
    <xf numFmtId="164" fontId="67" fillId="0" borderId="0" pivotButton="0" quotePrefix="0" xfId="0"/>
    <xf numFmtId="1" fontId="11" fillId="0" borderId="0" pivotButton="0" quotePrefix="0" xfId="0"/>
    <xf numFmtId="0" fontId="66" fillId="75" borderId="0" pivotButton="0" quotePrefix="0" xfId="0"/>
    <xf numFmtId="0" fontId="0" fillId="75" borderId="0" pivotButton="0" quotePrefix="0" xfId="0"/>
    <xf numFmtId="0" fontId="66" fillId="76" borderId="0" pivotButton="0" quotePrefix="0" xfId="0"/>
    <xf numFmtId="0" fontId="0" fillId="76" borderId="0" pivotButton="0" quotePrefix="0" xfId="0"/>
    <xf numFmtId="0" fontId="66" fillId="77" borderId="0" pivotButton="0" quotePrefix="0" xfId="0"/>
    <xf numFmtId="0" fontId="0" fillId="77" borderId="0" pivotButton="0" quotePrefix="0" xfId="0"/>
    <xf numFmtId="0" fontId="66" fillId="78" borderId="0" pivotButton="0" quotePrefix="0" xfId="0"/>
    <xf numFmtId="0" fontId="0" fillId="78" borderId="0" pivotButton="0" quotePrefix="0" xfId="0"/>
    <xf numFmtId="0" fontId="66" fillId="79" borderId="0" pivotButton="0" quotePrefix="0" xfId="0"/>
    <xf numFmtId="0" fontId="0" fillId="79" borderId="0" pivotButton="0" quotePrefix="0" xfId="0"/>
    <xf numFmtId="0" fontId="35" fillId="0" borderId="0" pivotButton="0" quotePrefix="0" xfId="0"/>
    <xf numFmtId="0" fontId="35" fillId="80" borderId="0" pivotButton="0" quotePrefix="0" xfId="0"/>
    <xf numFmtId="179" fontId="68" fillId="49" borderId="0" pivotButton="0" quotePrefix="0" xfId="0"/>
    <xf numFmtId="0" fontId="69" fillId="0" borderId="0" pivotButton="0" quotePrefix="0" xfId="0"/>
    <xf numFmtId="0" fontId="71" fillId="47" borderId="0" pivotButton="0" quotePrefix="0" xfId="0"/>
    <xf numFmtId="0" fontId="70" fillId="0" borderId="0" pivotButton="0" quotePrefix="0" xfId="0"/>
    <xf numFmtId="0" fontId="0" fillId="0" borderId="0" pivotButton="0" quotePrefix="1" xfId="0"/>
    <xf numFmtId="0" fontId="72" fillId="0" borderId="0" pivotButton="0" quotePrefix="0" xfId="0"/>
    <xf numFmtId="179" fontId="73" fillId="49" borderId="0" pivotButton="0" quotePrefix="0" xfId="0"/>
    <xf numFmtId="0" fontId="74" fillId="0" borderId="0" pivotButton="0" quotePrefix="0" xfId="0"/>
    <xf numFmtId="0" fontId="75" fillId="0" borderId="0" pivotButton="0" quotePrefix="0" xfId="0"/>
    <xf numFmtId="0" fontId="66" fillId="81" borderId="0" pivotButton="0" quotePrefix="0" xfId="0"/>
    <xf numFmtId="0" fontId="0" fillId="81" borderId="0" pivotButton="0" quotePrefix="0" xfId="0"/>
    <xf numFmtId="14" fontId="0" fillId="0" borderId="0" pivotButton="0" quotePrefix="0" xfId="0"/>
    <xf numFmtId="20" fontId="0" fillId="0" borderId="0" pivotButton="0" quotePrefix="0" xfId="0"/>
    <xf numFmtId="0" fontId="11" fillId="82" borderId="0" pivotButton="0" quotePrefix="0" xfId="0"/>
    <xf numFmtId="3" fontId="21" fillId="53" borderId="0" pivotButton="0" quotePrefix="0" xfId="0"/>
    <xf numFmtId="0" fontId="76" fillId="0" borderId="0" pivotButton="0" quotePrefix="0" xfId="0"/>
    <xf numFmtId="182" fontId="0" fillId="0" borderId="0" pivotButton="0" quotePrefix="0" xfId="0"/>
    <xf numFmtId="183" fontId="0" fillId="0" borderId="0" pivotButton="0" quotePrefix="0" xfId="0"/>
    <xf numFmtId="0" fontId="35" fillId="63" borderId="0" pivotButton="0" quotePrefix="0" xfId="0"/>
    <xf numFmtId="11" fontId="20" fillId="53" borderId="0" pivotButton="0" quotePrefix="0" xfId="0"/>
    <xf numFmtId="178" fontId="0" fillId="0" borderId="0" pivotButton="0" quotePrefix="0" xfId="0"/>
    <xf numFmtId="184" fontId="0" fillId="0" borderId="0" pivotButton="0" quotePrefix="0" xfId="0"/>
    <xf numFmtId="185" fontId="0" fillId="0" borderId="0" pivotButton="0" quotePrefix="0" xfId="0"/>
    <xf numFmtId="167" fontId="20" fillId="53" borderId="0" pivotButton="0" quotePrefix="0" xfId="0"/>
    <xf numFmtId="0" fontId="35" fillId="84" borderId="0" pivotButton="0" quotePrefix="0" xfId="0"/>
    <xf numFmtId="0" fontId="66" fillId="85" borderId="0" pivotButton="0" quotePrefix="0" xfId="0"/>
    <xf numFmtId="0" fontId="0" fillId="85" borderId="0" pivotButton="0" quotePrefix="0" xfId="0"/>
    <xf numFmtId="9" fontId="20" fillId="53" borderId="0" pivotButton="0" quotePrefix="0" xfId="0"/>
    <xf numFmtId="0" fontId="66" fillId="54" borderId="0" pivotButton="0" quotePrefix="0" xfId="0"/>
    <xf numFmtId="0" fontId="0" fillId="54" borderId="0" pivotButton="0" quotePrefix="0" xfId="0"/>
    <xf numFmtId="0" fontId="77" fillId="46" borderId="0" pivotButton="0" quotePrefix="0" xfId="0"/>
    <xf numFmtId="0" fontId="71" fillId="0" borderId="0" pivotButton="0" quotePrefix="0" xfId="0"/>
    <xf numFmtId="0" fontId="71" fillId="49" borderId="0" pivotButton="0" quotePrefix="0" xfId="0"/>
    <xf numFmtId="0" fontId="77" fillId="74" borderId="0" pivotButton="0" quotePrefix="0" xfId="0"/>
    <xf numFmtId="0" fontId="71" fillId="48" borderId="0" pivotButton="0" quotePrefix="0" xfId="0"/>
    <xf numFmtId="0" fontId="78" fillId="0" borderId="0" pivotButton="0" quotePrefix="0" xfId="0"/>
    <xf numFmtId="0" fontId="79" fillId="0" borderId="0" pivotButton="0" quotePrefix="0" xfId="0"/>
    <xf numFmtId="49" fontId="21" fillId="47" borderId="0" pivotButton="0" quotePrefix="0" xfId="0"/>
    <xf numFmtId="0" fontId="66" fillId="86" borderId="0" pivotButton="0" quotePrefix="0" xfId="0"/>
    <xf numFmtId="0" fontId="0" fillId="86" borderId="0" pivotButton="0" quotePrefix="0" xfId="0"/>
    <xf numFmtId="0" fontId="0" fillId="84" borderId="0" pivotButton="0" quotePrefix="0" xfId="0"/>
    <xf numFmtId="3" fontId="0" fillId="84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82" fillId="0" borderId="0" pivotButton="0" quotePrefix="0" xfId="0"/>
    <xf numFmtId="0" fontId="83" fillId="0" borderId="0" pivotButton="0" quotePrefix="0" xfId="0"/>
    <xf numFmtId="0" fontId="84" fillId="77" borderId="0" pivotButton="0" quotePrefix="0" xfId="0"/>
    <xf numFmtId="0" fontId="85" fillId="87" borderId="0" pivotButton="0" quotePrefix="0" xfId="0"/>
    <xf numFmtId="0" fontId="85" fillId="87" borderId="26" pivotButton="0" quotePrefix="0" xfId="1"/>
    <xf numFmtId="0" fontId="65" fillId="0" borderId="26" pivotButton="0" quotePrefix="0" xfId="1"/>
    <xf numFmtId="0" fontId="11" fillId="53" borderId="26" pivotButton="0" quotePrefix="0" xfId="1"/>
    <xf numFmtId="0" fontId="19" fillId="0" borderId="26" pivotButton="0" quotePrefix="1" xfId="1"/>
    <xf numFmtId="0" fontId="85" fillId="88" borderId="0" pivotButton="0" quotePrefix="0" xfId="0"/>
    <xf numFmtId="0" fontId="11" fillId="89" borderId="0" pivotButton="0" quotePrefix="0" xfId="0"/>
    <xf numFmtId="0" fontId="85" fillId="88" borderId="26" pivotButton="0" quotePrefix="0" xfId="1"/>
    <xf numFmtId="0" fontId="11" fillId="89" borderId="26" pivotButton="0" quotePrefix="0" xfId="1"/>
    <xf numFmtId="0" fontId="86" fillId="0" borderId="0" pivotButton="0" quotePrefix="0" xfId="0"/>
    <xf numFmtId="0" fontId="87" fillId="53" borderId="0" pivotButton="0" quotePrefix="0" xfId="0"/>
    <xf numFmtId="0" fontId="88" fillId="88" borderId="0" pivotButton="0" quotePrefix="0" xfId="0"/>
    <xf numFmtId="0" fontId="86" fillId="0" borderId="0" pivotButton="0" quotePrefix="1" xfId="0"/>
    <xf numFmtId="0" fontId="87" fillId="89" borderId="0" pivotButton="0" quotePrefix="0" xfId="0"/>
    <xf numFmtId="2" fontId="2" fillId="3" borderId="0" applyAlignment="1" pivotButton="0" quotePrefix="0" xfId="0">
      <alignment horizontal="left" vertical="center" wrapText="1"/>
    </xf>
    <xf numFmtId="0" fontId="0" fillId="0" borderId="0" pivotButton="0" quotePrefix="0" xfId="0"/>
    <xf numFmtId="2" fontId="2" fillId="3" borderId="0" applyAlignment="1" pivotButton="0" quotePrefix="0" xfId="0">
      <alignment horizontal="left" vertical="center"/>
    </xf>
    <xf numFmtId="0" fontId="2" fillId="2" borderId="8" applyAlignment="1" pivotButton="0" quotePrefix="0" xfId="0">
      <alignment vertical="center" wrapText="1"/>
    </xf>
    <xf numFmtId="0" fontId="4" fillId="0" borderId="9" pivotButton="0" quotePrefix="0" xfId="0"/>
    <xf numFmtId="0" fontId="4" fillId="0" borderId="10" pivotButton="0" quotePrefix="0" xfId="0"/>
    <xf numFmtId="0" fontId="4" fillId="0" borderId="0" applyAlignment="1" pivotButton="0" quotePrefix="0" xfId="0">
      <alignment vertical="center" wrapText="1"/>
    </xf>
    <xf numFmtId="0" fontId="2" fillId="28" borderId="8" applyAlignment="1" pivotButton="0" quotePrefix="0" xfId="0">
      <alignment horizontal="center" vertical="center" wrapText="1"/>
    </xf>
    <xf numFmtId="0" fontId="2" fillId="2" borderId="8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/>
    </xf>
    <xf numFmtId="0" fontId="2" fillId="9" borderId="8" applyAlignment="1" pivotButton="0" quotePrefix="0" xfId="0">
      <alignment vertical="center" wrapText="1"/>
    </xf>
    <xf numFmtId="49" fontId="11" fillId="3" borderId="21" applyAlignment="1" pivotButton="0" quotePrefix="0" xfId="0">
      <alignment horizontal="center"/>
    </xf>
    <xf numFmtId="0" fontId="4" fillId="0" borderId="22" pivotButton="0" quotePrefix="0" xfId="0"/>
    <xf numFmtId="0" fontId="4" fillId="0" borderId="23" pivotButton="0" quotePrefix="0" xfId="0"/>
    <xf numFmtId="49" fontId="11" fillId="38" borderId="25" applyAlignment="1" pivotButton="0" quotePrefix="0" xfId="0">
      <alignment horizontal="center"/>
    </xf>
    <xf numFmtId="0" fontId="4" fillId="0" borderId="26" pivotButton="0" quotePrefix="0" xfId="0"/>
    <xf numFmtId="49" fontId="11" fillId="38" borderId="25" pivotButton="0" quotePrefix="0" xfId="0"/>
    <xf numFmtId="0" fontId="35" fillId="62" borderId="0" applyAlignment="1" pivotButton="0" quotePrefix="0" xfId="0">
      <alignment horizontal="center"/>
    </xf>
    <xf numFmtId="0" fontId="35" fillId="64" borderId="0" applyAlignment="1" pivotButton="0" quotePrefix="0" xfId="0">
      <alignment horizontal="center"/>
    </xf>
    <xf numFmtId="0" fontId="35" fillId="64" borderId="0" applyAlignment="1" pivotButton="0" quotePrefix="0" xfId="0">
      <alignment horizontal="center" wrapText="1"/>
    </xf>
    <xf numFmtId="0" fontId="35" fillId="62" borderId="0" applyAlignment="1" pivotButton="0" quotePrefix="0" xfId="0">
      <alignment horizontal="center" wrapText="1"/>
    </xf>
    <xf numFmtId="0" fontId="0" fillId="0" borderId="37" pivotButton="0" quotePrefix="0" xfId="0"/>
    <xf numFmtId="0" fontId="0" fillId="0" borderId="43" pivotButton="0" quotePrefix="0" xfId="0"/>
    <xf numFmtId="0" fontId="0" fillId="0" borderId="41" pivotButton="0" quotePrefix="0" xfId="0"/>
    <xf numFmtId="0" fontId="0" fillId="0" borderId="44" pivotButton="0" quotePrefix="0" xfId="0"/>
    <xf numFmtId="0" fontId="0" fillId="0" borderId="26" pivotButton="0" quotePrefix="0" xfId="0"/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0" fillId="0" borderId="48" pivotButton="0" quotePrefix="0" xfId="0"/>
    <xf numFmtId="0" fontId="24" fillId="83" borderId="0" applyAlignment="1" pivotButton="0" quotePrefix="0" xfId="0">
      <alignment horizontal="center"/>
    </xf>
    <xf numFmtId="0" fontId="89" fillId="0" borderId="0" applyAlignment="1" pivotButton="0" quotePrefix="0" xfId="0">
      <alignment vertical="top" wrapText="1"/>
    </xf>
    <xf numFmtId="0" fontId="85" fillId="87" borderId="0" applyAlignment="1" pivotButton="0" quotePrefix="0" xfId="0">
      <alignment horizontal="center"/>
    </xf>
    <xf numFmtId="0" fontId="85" fillId="88" borderId="0" applyAlignment="1" pivotButton="0" quotePrefix="0" xfId="0">
      <alignment horizontal="center"/>
    </xf>
    <xf numFmtId="0" fontId="90" fillId="0" borderId="0" applyAlignment="1" pivotButton="0" quotePrefix="0" xfId="0">
      <alignment horizontal="left" vertical="center"/>
    </xf>
    <xf numFmtId="0" fontId="91" fillId="0" borderId="0" applyAlignment="1" pivotButton="0" quotePrefix="0" xfId="0">
      <alignment horizontal="left" vertical="top" wrapText="1"/>
    </xf>
    <xf numFmtId="0" fontId="92" fillId="90" borderId="62" applyAlignment="1" pivotButton="0" quotePrefix="0" xfId="0">
      <alignment horizontal="center" vertical="center"/>
    </xf>
    <xf numFmtId="0" fontId="93" fillId="0" borderId="62" applyAlignment="1" pivotButton="0" quotePrefix="0" xfId="0">
      <alignment horizontal="left"/>
    </xf>
    <xf numFmtId="1" fontId="94" fillId="91" borderId="62" applyAlignment="1" pivotButton="0" quotePrefix="0" xfId="0">
      <alignment horizontal="center" vertical="center"/>
    </xf>
    <xf numFmtId="0" fontId="91" fillId="0" borderId="62" applyAlignment="1" pivotButton="0" quotePrefix="0" xfId="0">
      <alignment horizontal="left" vertical="top" wrapText="1"/>
    </xf>
    <xf numFmtId="165" fontId="94" fillId="91" borderId="62" applyAlignment="1" pivotButton="0" quotePrefix="0" xfId="0">
      <alignment horizontal="center" vertical="center"/>
    </xf>
    <xf numFmtId="0" fontId="94" fillId="91" borderId="62" applyAlignment="1" pivotButton="0" quotePrefix="0" xfId="0">
      <alignment horizontal="center" vertical="center"/>
    </xf>
    <xf numFmtId="2" fontId="0" fillId="0" borderId="62" applyAlignment="1" pivotButton="0" quotePrefix="0" xfId="0">
      <alignment horizontal="center" vertical="center"/>
    </xf>
    <xf numFmtId="165" fontId="0" fillId="0" borderId="62" applyAlignment="1" pivotButton="0" quotePrefix="0" xfId="0">
      <alignment horizontal="center" vertical="center"/>
    </xf>
    <xf numFmtId="0" fontId="92" fillId="92" borderId="62" applyAlignment="1" pivotButton="0" quotePrefix="0" xfId="0">
      <alignment horizontal="center" vertical="center"/>
    </xf>
    <xf numFmtId="0" fontId="93" fillId="0" borderId="62" pivotButton="0" quotePrefix="0" xfId="0"/>
    <xf numFmtId="164" fontId="0" fillId="0" borderId="62" applyAlignment="1" pivotButton="0" quotePrefix="0" xfId="0">
      <alignment horizontal="center" vertical="center"/>
    </xf>
    <xf numFmtId="0" fontId="0" fillId="0" borderId="62" applyAlignment="1" pivotButton="0" quotePrefix="0" xfId="0">
      <alignment horizontal="center" vertical="center"/>
    </xf>
    <xf numFmtId="0" fontId="0" fillId="0" borderId="62" applyAlignment="1" pivotButton="0" quotePrefix="0" xfId="0">
      <alignment horizontal="left" vertical="top" wrapText="1"/>
    </xf>
    <xf numFmtId="0" fontId="0" fillId="0" borderId="65" pivotButton="0" quotePrefix="0" xfId="0"/>
    <xf numFmtId="0" fontId="0" fillId="0" borderId="66" pivotButton="0" quotePrefix="0" xfId="0"/>
    <xf numFmtId="0" fontId="93" fillId="0" borderId="62" applyAlignment="1" pivotButton="0" quotePrefix="0" xfId="0">
      <alignment horizontal="left" vertical="top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Tony Koop</author>
  </authors>
  <commentList>
    <comment ref="B30" authorId="0" shapeId="0">
      <text>
        <t>Tony Koop:
Bowl wall thickness at port — adjust if thinner/thicker</t>
      </text>
    </comment>
    <comment ref="G38" authorId="0" shapeId="0">
      <text>
        <t>Tony Koop:
Tongue length + kerf on each side</t>
      </text>
    </comment>
    <comment ref="G39" authorId="0" shapeId="0">
      <text>
        <t>Tony Koop:
Tongue length + kerf on each side</t>
      </text>
    </comment>
    <comment ref="G40" authorId="0" shapeId="0">
      <text>
        <t>Tony Koop:
Tongue length + kerf on each side</t>
      </text>
    </comment>
    <comment ref="G41" authorId="0" shapeId="0">
      <text>
        <t>Tony Koop:
Tongue length + kerf on each side</t>
      </text>
    </comment>
    <comment ref="G42" authorId="0" shapeId="0">
      <text>
        <t>Tony Koop:
Tongue length + kerf on each side</t>
      </text>
    </comment>
    <comment ref="G43" authorId="0" shapeId="0">
      <text>
        <t>Tony Koop:
Tongue length + kerf on each side</t>
      </text>
    </comment>
    <comment ref="G44" authorId="0" shapeId="0">
      <text>
        <t>Tony Koop:
Tongue length + kerf on each side</t>
      </text>
    </comment>
    <comment ref="G45" authorId="0" shapeId="0">
      <text>
        <t>Tony Koop:
Tongue length + kerf on each side</t>
      </text>
    </comment>
    <comment ref="G46" authorId="0" shapeId="0">
      <text>
        <t>Tony Koop:
Tongue length + kerf on each side</t>
      </text>
    </comment>
    <comment ref="G47" authorId="0" shapeId="0">
      <text>
        <t>Tony Koop:
Tongue length + kerf on each side</t>
      </text>
    </comment>
    <comment ref="G48" authorId="0" shapeId="0">
      <text>
        <t>Tony Koop:
Tongue length + kerf on each side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4"/>
  <sheetViews>
    <sheetView workbookViewId="0">
      <pane ySplit="3" topLeftCell="A24" activePane="bottomLeft" state="frozen"/>
      <selection pane="bottomLeft" activeCell="A1" sqref="A1"/>
    </sheetView>
  </sheetViews>
  <sheetFormatPr baseColWidth="8" defaultRowHeight="12.75"/>
  <cols>
    <col width="32" customWidth="1" style="817" min="1" max="1"/>
    <col width="18" customWidth="1" style="817" min="2" max="2"/>
    <col width="18" customWidth="1" style="817" min="3" max="5"/>
    <col width="18" customWidth="1" style="817" min="4" max="4"/>
    <col width="60" customWidth="1" style="817" min="5" max="5"/>
    <col width="19" customWidth="1" style="817" min="6" max="7"/>
    <col width="15.28515625" customWidth="1" style="817" min="8" max="8"/>
    <col width="19" customWidth="1" style="817" min="9" max="9"/>
  </cols>
  <sheetData>
    <row r="1" ht="18" customHeight="1" s="817">
      <c r="A1" s="470" t="inlineStr">
        <is>
          <t>Wood Shell Tongue Drum — Hybrid: Wooden Bowl + Cantilever Tongues + Helmholtz Resonance</t>
        </is>
      </c>
    </row>
    <row r="2">
      <c r="A2" s="734" t="inlineStr">
        <is>
          <t>Combines segmented/stave bowl construction with flat tonewood soundboard · CNC-cut tongue slits · Enclosed chamber for Helmholtz sustain</t>
        </is>
      </c>
    </row>
    <row r="4" ht="15" customHeight="1" s="817">
      <c r="A4" s="735" t="inlineStr">
        <is>
          <t>SHARED DESIGN INPUTS</t>
        </is>
      </c>
      <c r="B4" s="736" t="n"/>
      <c r="C4" s="736" t="n"/>
      <c r="D4" s="736" t="n"/>
    </row>
    <row r="5">
      <c r="A5" t="inlineStr">
        <is>
          <t>Shell Outer Diameter (in)</t>
        </is>
      </c>
      <c r="B5" s="565" t="n">
        <v>12</v>
      </c>
      <c r="C5" t="inlineStr">
        <is>
          <t>≈ 30 cm; matches common tongue drum size</t>
        </is>
      </c>
    </row>
    <row r="6">
      <c r="A6" t="inlineStr">
        <is>
          <t>Shell Height / Depth (in)</t>
        </is>
      </c>
      <c r="B6" s="565" t="n">
        <v>5</v>
      </c>
      <c r="C6" t="inlineStr">
        <is>
          <t>Bowl depth below soundboard rim</t>
        </is>
      </c>
    </row>
    <row r="7">
      <c r="A7" t="inlineStr">
        <is>
          <t>Soundboard Thickness (in)</t>
        </is>
      </c>
      <c r="B7" s="596" t="n">
        <v>0.375</v>
      </c>
      <c r="C7" t="inlineStr">
        <is>
          <t>3/8" — standard for wooden tongue drums</t>
        </is>
      </c>
    </row>
    <row r="8">
      <c r="A8" t="inlineStr">
        <is>
          <t>Soundboard Wood</t>
        </is>
      </c>
      <c r="B8" s="564" t="inlineStr">
        <is>
          <t>Padauk</t>
        </is>
      </c>
    </row>
    <row r="9">
      <c r="A9" t="inlineStr">
        <is>
          <t>Soundboard K (cantilever)</t>
        </is>
      </c>
      <c r="B9" s="679" t="n">
        <v>24438</v>
      </c>
      <c r="C9" t="inlineStr">
        <is>
          <t>From material library below; Padauk = 24,438</t>
        </is>
      </c>
    </row>
    <row r="10">
      <c r="A10" t="inlineStr">
        <is>
          <t>Slit Kerf Width (in)</t>
        </is>
      </c>
      <c r="B10" s="596" t="n">
        <v>0.125</v>
      </c>
      <c r="C10" t="inlineStr">
        <is>
          <t>1/8" CNC upcut spiral bit</t>
        </is>
      </c>
    </row>
    <row r="11">
      <c r="A11" t="inlineStr">
        <is>
          <t>Tongue Width (in)</t>
        </is>
      </c>
      <c r="B11" s="565" t="n">
        <v>1</v>
      </c>
      <c r="C11" t="inlineStr">
        <is>
          <t>Width affects volume, NOT pitch</t>
        </is>
      </c>
    </row>
    <row r="12">
      <c r="A12" t="inlineStr">
        <is>
          <t>Number of Tongues</t>
        </is>
      </c>
      <c r="B12" s="737" t="n">
        <v>11</v>
      </c>
    </row>
    <row r="13">
      <c r="A13" t="inlineStr">
        <is>
          <t>Scale</t>
        </is>
      </c>
      <c r="B13" s="564" t="inlineStr">
        <is>
          <t>D Kurd</t>
        </is>
      </c>
    </row>
    <row r="14">
      <c r="A14" t="inlineStr">
        <is>
          <t>Gu Port Diameter (in)</t>
        </is>
      </c>
      <c r="B14" s="565" t="n">
        <v>2.5</v>
      </c>
      <c r="C14" t="inlineStr">
        <is>
          <t>Bottom of bowl; controls Helmholtz bass</t>
        </is>
      </c>
    </row>
    <row r="15">
      <c r="A15" t="inlineStr">
        <is>
          <t>Bowl Wood</t>
        </is>
      </c>
      <c r="B15" s="564" t="inlineStr">
        <is>
          <t>Black Walnut</t>
        </is>
      </c>
      <c r="C15" t="inlineStr">
        <is>
          <t>Bowl is NOT the soundboard — any attractive hardwood works</t>
        </is>
      </c>
    </row>
    <row r="17" ht="15" customHeight="1" s="817">
      <c r="A17" s="738" t="inlineStr">
        <is>
          <t>SOUNDBOARD MATERIAL LIBRARY — Cantilever K Values (from Tongue Drum sheet)</t>
        </is>
      </c>
      <c r="B17" s="739" t="n"/>
      <c r="C17" s="739" t="n"/>
      <c r="D17" s="739" t="n"/>
      <c r="E17" s="739" t="n"/>
      <c r="F17" s="739" t="n"/>
    </row>
    <row r="18">
      <c r="A18" s="484" t="inlineStr">
        <is>
          <t>Wood</t>
        </is>
      </c>
      <c r="B18" s="484" t="inlineStr">
        <is>
          <t>E (GPa)</t>
        </is>
      </c>
      <c r="C18" s="484" t="inlineStr">
        <is>
          <t>ρ (kg/m³)</t>
        </is>
      </c>
      <c r="D18" s="484" t="inlineStr">
        <is>
          <t>K (cantilever)</t>
        </is>
      </c>
      <c r="E18" s="484" t="inlineStr">
        <is>
          <t>Tone Character</t>
        </is>
      </c>
      <c r="F18" s="484" t="inlineStr">
        <is>
          <t>Rating</t>
        </is>
      </c>
    </row>
    <row r="19">
      <c r="A19" t="inlineStr">
        <is>
          <t>Padauk</t>
        </is>
      </c>
      <c r="B19" t="n">
        <v>11</v>
      </c>
      <c r="C19" t="n">
        <v>745</v>
      </c>
      <c r="D19" s="662" t="n">
        <v>24438</v>
      </c>
      <c r="E19" t="inlineStr">
        <is>
          <t>Warm, rich, excellent sustain</t>
        </is>
      </c>
      <c r="F19" t="inlineStr">
        <is>
          <t>★★★★★</t>
        </is>
      </c>
    </row>
    <row r="20">
      <c r="A20" t="inlineStr">
        <is>
          <t>Wenge</t>
        </is>
      </c>
      <c r="B20" t="n">
        <v>15.8</v>
      </c>
      <c r="C20" t="n">
        <v>870</v>
      </c>
      <c r="D20" s="662" t="n">
        <v>27103</v>
      </c>
      <c r="E20" t="inlineStr">
        <is>
          <t>Bright, punchy attack</t>
        </is>
      </c>
      <c r="F20" t="inlineStr">
        <is>
          <t>★★★★★</t>
        </is>
      </c>
    </row>
    <row r="21">
      <c r="A21" t="inlineStr">
        <is>
          <t>Cherry</t>
        </is>
      </c>
      <c r="B21" t="n">
        <v>10.3</v>
      </c>
      <c r="C21" t="n">
        <v>560</v>
      </c>
      <c r="D21" s="662" t="n">
        <v>27275</v>
      </c>
      <c r="E21" t="inlineStr">
        <is>
          <t>Balanced, sweet midrange</t>
        </is>
      </c>
      <c r="F21" t="inlineStr">
        <is>
          <t>★★★★</t>
        </is>
      </c>
    </row>
    <row r="22">
      <c r="A22" t="inlineStr">
        <is>
          <t>Black Walnut</t>
        </is>
      </c>
      <c r="B22" t="n">
        <v>11.6</v>
      </c>
      <c r="C22" t="n">
        <v>610</v>
      </c>
      <c r="D22" s="662" t="n">
        <v>27734</v>
      </c>
      <c r="E22" t="inlineStr">
        <is>
          <t>Full, mellow</t>
        </is>
      </c>
      <c r="F22" t="inlineStr">
        <is>
          <t>★★★★</t>
        </is>
      </c>
    </row>
    <row r="23">
      <c r="A23" t="inlineStr">
        <is>
          <t>Hard Maple</t>
        </is>
      </c>
      <c r="B23" t="n">
        <v>12.6</v>
      </c>
      <c r="C23" t="n">
        <v>705</v>
      </c>
      <c r="D23" s="662" t="n">
        <v>26887</v>
      </c>
      <c r="E23" t="inlineStr">
        <is>
          <t>Bright, long sustain</t>
        </is>
      </c>
      <c r="F23" t="inlineStr">
        <is>
          <t>★★★★</t>
        </is>
      </c>
    </row>
    <row r="24">
      <c r="A24" t="inlineStr">
        <is>
          <t>Mahogany</t>
        </is>
      </c>
      <c r="B24" t="n">
        <v>10.1</v>
      </c>
      <c r="C24" t="n">
        <v>590</v>
      </c>
      <c r="D24" s="662" t="n">
        <v>26314</v>
      </c>
      <c r="E24" t="inlineStr">
        <is>
          <t>Warm, full bass</t>
        </is>
      </c>
      <c r="F24" t="inlineStr">
        <is>
          <t>★★★★</t>
        </is>
      </c>
    </row>
    <row r="25">
      <c r="A25" t="inlineStr">
        <is>
          <t>Western Red Cedar</t>
        </is>
      </c>
      <c r="B25" t="n">
        <v>7.7</v>
      </c>
      <c r="C25" t="n">
        <v>370</v>
      </c>
      <c r="D25" s="662" t="n">
        <v>29013</v>
      </c>
      <c r="E25" t="inlineStr">
        <is>
          <t>Light, resonant, guitar-like</t>
        </is>
      </c>
      <c r="F25" t="inlineStr">
        <is>
          <t>★★★</t>
        </is>
      </c>
    </row>
    <row r="27" ht="15" customHeight="1" s="817">
      <c r="A27" s="743" t="inlineStr">
        <is>
          <t>HELMHOLTZ RESONANCE (Enclosed Bowl Chamber)</t>
        </is>
      </c>
      <c r="B27" s="744" t="n"/>
      <c r="C27" s="744" t="n"/>
      <c r="D27" s="744" t="n"/>
    </row>
    <row r="28">
      <c r="A28" t="inlineStr">
        <is>
          <t>Chamber Volume (in³)</t>
        </is>
      </c>
      <c r="B28" s="481">
        <f>(2/3)*PI()*(B5/2)^2*B6</f>
        <v/>
      </c>
      <c r="C28" t="inlineStr">
        <is>
          <t>≈ 2/3 × π × r² × h (hemisphere)</t>
        </is>
      </c>
    </row>
    <row r="29">
      <c r="A29" t="inlineStr">
        <is>
          <t>Port Area (in²)</t>
        </is>
      </c>
      <c r="B29" s="469">
        <f>PI()*(B14/2)^2</f>
        <v/>
      </c>
    </row>
    <row r="30">
      <c r="A30" t="inlineStr">
        <is>
          <t>Neck Length (in)</t>
        </is>
      </c>
      <c r="B30" s="469">
        <f>0.75</f>
        <v/>
      </c>
    </row>
    <row r="31">
      <c r="A31" t="inlineStr">
        <is>
          <t>Helmholtz Freq (Hz)</t>
        </is>
      </c>
      <c r="B31" s="707">
        <f>(13552/(2*PI()))*SQRT(B29/(B28*B30))</f>
        <v/>
      </c>
      <c r="C31" t="inlineStr">
        <is>
          <t>← Should be below the lowest tongue note for warm bass coupling</t>
        </is>
      </c>
    </row>
    <row r="32">
      <c r="A32" t="inlineStr">
        <is>
          <t>Nearest Note</t>
        </is>
      </c>
      <c r="B32" s="472">
        <f>CHOOSE(MOD(ROUND(12*LOG(B31/440,2)+69,0),12)+1,"C","C#","D","D#","E","F","F#","G","G#","A","A#","B")&amp;INT((ROUND(12*LOG(B31/440,2)+69,0))/12-1)</f>
        <v/>
      </c>
    </row>
    <row r="34" ht="15" customHeight="1" s="817">
      <c r="A34" s="764" t="inlineStr">
        <is>
          <t>TONGUE LENGTH CALCULATOR — Cantilever: f = K × t / L² → L = √(K × t / f)</t>
        </is>
      </c>
      <c r="B34" s="765" t="n"/>
      <c r="C34" s="765" t="n"/>
      <c r="D34" s="765" t="n"/>
      <c r="E34" s="765" t="n"/>
      <c r="F34" s="765" t="n"/>
      <c r="G34" s="765" t="n"/>
      <c r="H34" s="765" t="n"/>
      <c r="I34" s="765" t="n"/>
    </row>
    <row r="35">
      <c r="A35" t="inlineStr">
        <is>
          <t>Max Tongue Length (in)</t>
        </is>
      </c>
      <c r="B35" s="481">
        <f>B5/2-1</f>
        <v/>
      </c>
      <c r="C35" t="inlineStr">
        <is>
          <t>← radius minus 1" Ding clearance</t>
        </is>
      </c>
    </row>
    <row r="37">
      <c r="A37" s="713" t="inlineStr">
        <is>
          <t>#</t>
        </is>
      </c>
      <c r="B37" s="713" t="inlineStr">
        <is>
          <t>Note</t>
        </is>
      </c>
      <c r="C37" s="713" t="inlineStr">
        <is>
          <t>MIDI</t>
        </is>
      </c>
      <c r="D37" s="713" t="inlineStr">
        <is>
          <t>Freq (Hz)</t>
        </is>
      </c>
      <c r="E37" s="713" t="inlineStr">
        <is>
          <t>Tongue Length (in)</t>
        </is>
      </c>
      <c r="F37" s="713" t="inlineStr">
        <is>
          <t>Length (mm)</t>
        </is>
      </c>
      <c r="G37" s="713" t="inlineStr">
        <is>
          <t>Cut Length (in)</t>
        </is>
      </c>
      <c r="H37" s="713" t="inlineStr">
        <is>
          <t>Position</t>
        </is>
      </c>
      <c r="I37" s="713" t="inlineStr">
        <is>
          <t>Fits?</t>
        </is>
      </c>
    </row>
    <row r="38">
      <c r="A38" t="inlineStr">
        <is>
          <t>Ding</t>
        </is>
      </c>
      <c r="B38" s="564" t="inlineStr">
        <is>
          <t>D3</t>
        </is>
      </c>
      <c r="C38" s="564" t="n">
        <v>50</v>
      </c>
      <c r="D38" s="481">
        <f>440*2^((C38-69)/12)</f>
        <v/>
      </c>
      <c r="E38" s="482">
        <f>SQRT($B$9*$B$7/D38)</f>
        <v/>
      </c>
      <c r="F38" s="481">
        <f>E38*25.4</f>
        <v/>
      </c>
      <c r="G38" s="482">
        <f>E38+$B$10</f>
        <v/>
      </c>
      <c r="H38" t="inlineStr">
        <is>
          <t>Center</t>
        </is>
      </c>
      <c r="I38" s="472">
        <f>IF(E38&lt;=$B$35,"OK","⚠️ TOO LONG")</f>
        <v/>
      </c>
    </row>
    <row r="39">
      <c r="A39" t="n">
        <v>1</v>
      </c>
      <c r="B39" s="564" t="inlineStr">
        <is>
          <t>A3</t>
        </is>
      </c>
      <c r="C39" s="564" t="n">
        <v>57</v>
      </c>
      <c r="D39" s="481">
        <f>440*2^((C39-69)/12)</f>
        <v/>
      </c>
      <c r="E39" s="482">
        <f>SQRT($B$9*$B$7/D39)</f>
        <v/>
      </c>
      <c r="F39" s="481">
        <f>E39*25.4</f>
        <v/>
      </c>
      <c r="G39" s="482">
        <f>E39+$B$10</f>
        <v/>
      </c>
      <c r="H39" t="inlineStr">
        <is>
          <t>Center</t>
        </is>
      </c>
      <c r="I39" s="472">
        <f>IF(E39&lt;=$B$35,"OK","⚠️ TOO LONG")</f>
        <v/>
      </c>
    </row>
    <row r="40">
      <c r="A40" t="n">
        <v>2</v>
      </c>
      <c r="B40" s="564" t="inlineStr">
        <is>
          <t>Bb3</t>
        </is>
      </c>
      <c r="C40" s="564" t="n">
        <v>58</v>
      </c>
      <c r="D40" s="481">
        <f>440*2^((C40-69)/12)</f>
        <v/>
      </c>
      <c r="E40" s="482">
        <f>SQRT($B$9*$B$7/D40)</f>
        <v/>
      </c>
      <c r="F40" s="481">
        <f>E40*25.4</f>
        <v/>
      </c>
      <c r="G40" s="482">
        <f>E40+$B$10</f>
        <v/>
      </c>
      <c r="H40" t="inlineStr">
        <is>
          <t>Center</t>
        </is>
      </c>
      <c r="I40" s="472">
        <f>IF(E40&lt;=$B$35,"OK","⚠️ TOO LONG")</f>
        <v/>
      </c>
    </row>
    <row r="41">
      <c r="A41" t="n">
        <v>3</v>
      </c>
      <c r="B41" s="564" t="inlineStr">
        <is>
          <t>C4</t>
        </is>
      </c>
      <c r="C41" s="564" t="n">
        <v>60</v>
      </c>
      <c r="D41" s="481">
        <f>440*2^((C41-69)/12)</f>
        <v/>
      </c>
      <c r="E41" s="482">
        <f>SQRT($B$9*$B$7/D41)</f>
        <v/>
      </c>
      <c r="F41" s="481">
        <f>E41*25.4</f>
        <v/>
      </c>
      <c r="G41" s="482">
        <f>E41+$B$10</f>
        <v/>
      </c>
      <c r="H41" t="inlineStr">
        <is>
          <t>Center</t>
        </is>
      </c>
      <c r="I41" s="472">
        <f>IF(E41&lt;=$B$35,"OK","⚠️ TOO LONG")</f>
        <v/>
      </c>
    </row>
    <row r="42">
      <c r="A42" t="n">
        <v>4</v>
      </c>
      <c r="B42" s="564" t="inlineStr">
        <is>
          <t>D4</t>
        </is>
      </c>
      <c r="C42" s="564" t="n">
        <v>62</v>
      </c>
      <c r="D42" s="481">
        <f>440*2^((C42-69)/12)</f>
        <v/>
      </c>
      <c r="E42" s="482">
        <f>SQRT($B$9*$B$7/D42)</f>
        <v/>
      </c>
      <c r="F42" s="481">
        <f>E42*25.4</f>
        <v/>
      </c>
      <c r="G42" s="482">
        <f>E42+$B$10</f>
        <v/>
      </c>
      <c r="H42" t="inlineStr">
        <is>
          <t>Center</t>
        </is>
      </c>
      <c r="I42" s="472">
        <f>IF(E42&lt;=$B$35,"OK","⚠️ TOO LONG")</f>
        <v/>
      </c>
    </row>
    <row r="43">
      <c r="A43" t="n">
        <v>5</v>
      </c>
      <c r="B43" s="564" t="inlineStr">
        <is>
          <t>E4</t>
        </is>
      </c>
      <c r="C43" s="564" t="n">
        <v>64</v>
      </c>
      <c r="D43" s="481">
        <f>440*2^((C43-69)/12)</f>
        <v/>
      </c>
      <c r="E43" s="482">
        <f>SQRT($B$9*$B$7/D43)</f>
        <v/>
      </c>
      <c r="F43" s="481">
        <f>E43*25.4</f>
        <v/>
      </c>
      <c r="G43" s="482">
        <f>E43+$B$10</f>
        <v/>
      </c>
      <c r="H43" t="inlineStr">
        <is>
          <t>Center</t>
        </is>
      </c>
      <c r="I43" s="472">
        <f>IF(E43&lt;=$B$35,"OK","⚠️ TOO LONG")</f>
        <v/>
      </c>
    </row>
    <row r="44">
      <c r="A44" t="n">
        <v>6</v>
      </c>
      <c r="B44" s="564" t="inlineStr">
        <is>
          <t>F4</t>
        </is>
      </c>
      <c r="C44" s="564" t="n">
        <v>65</v>
      </c>
      <c r="D44" s="481">
        <f>440*2^((C44-69)/12)</f>
        <v/>
      </c>
      <c r="E44" s="482">
        <f>SQRT($B$9*$B$7/D44)</f>
        <v/>
      </c>
      <c r="F44" s="481">
        <f>E44*25.4</f>
        <v/>
      </c>
      <c r="G44" s="482">
        <f>E44+$B$10</f>
        <v/>
      </c>
      <c r="H44" t="inlineStr">
        <is>
          <t>Center</t>
        </is>
      </c>
      <c r="I44" s="472">
        <f>IF(E44&lt;=$B$35,"OK","⚠️ TOO LONG")</f>
        <v/>
      </c>
    </row>
    <row r="45">
      <c r="A45" t="n">
        <v>7</v>
      </c>
      <c r="B45" s="564" t="inlineStr">
        <is>
          <t>G4</t>
        </is>
      </c>
      <c r="C45" s="564" t="n">
        <v>67</v>
      </c>
      <c r="D45" s="481">
        <f>440*2^((C45-69)/12)</f>
        <v/>
      </c>
      <c r="E45" s="482">
        <f>SQRT($B$9*$B$7/D45)</f>
        <v/>
      </c>
      <c r="F45" s="481">
        <f>E45*25.4</f>
        <v/>
      </c>
      <c r="G45" s="482">
        <f>E45+$B$10</f>
        <v/>
      </c>
      <c r="H45" t="inlineStr">
        <is>
          <t>Center</t>
        </is>
      </c>
      <c r="I45" s="472">
        <f>IF(E45&lt;=$B$35,"OK","⚠️ TOO LONG")</f>
        <v/>
      </c>
    </row>
    <row r="46">
      <c r="A46" t="n">
        <v>8</v>
      </c>
      <c r="B46" s="564" t="inlineStr">
        <is>
          <t>A4</t>
        </is>
      </c>
      <c r="C46" s="564" t="n">
        <v>69</v>
      </c>
      <c r="D46" s="481">
        <f>440*2^((C46-69)/12)</f>
        <v/>
      </c>
      <c r="E46" s="482">
        <f>SQRT($B$9*$B$7/D46)</f>
        <v/>
      </c>
      <c r="F46" s="481">
        <f>E46*25.4</f>
        <v/>
      </c>
      <c r="G46" s="482">
        <f>E46+$B$10</f>
        <v/>
      </c>
      <c r="H46" t="inlineStr">
        <is>
          <t>Center</t>
        </is>
      </c>
      <c r="I46" s="472">
        <f>IF(E46&lt;=$B$35,"OK","⚠️ TOO LONG")</f>
        <v/>
      </c>
    </row>
    <row r="47">
      <c r="A47" t="n">
        <v>9</v>
      </c>
      <c r="B47" s="564" t="inlineStr">
        <is>
          <t>C5</t>
        </is>
      </c>
      <c r="C47" s="564" t="n">
        <v>72</v>
      </c>
      <c r="D47" s="481">
        <f>440*2^((C47-69)/12)</f>
        <v/>
      </c>
      <c r="E47" s="482">
        <f>SQRT($B$9*$B$7/D47)</f>
        <v/>
      </c>
      <c r="F47" s="481">
        <f>E47*25.4</f>
        <v/>
      </c>
      <c r="G47" s="482">
        <f>E47+$B$10</f>
        <v/>
      </c>
      <c r="H47" t="inlineStr">
        <is>
          <t>Center</t>
        </is>
      </c>
      <c r="I47" s="472">
        <f>IF(E47&lt;=$B$35,"OK","⚠️ TOO LONG")</f>
        <v/>
      </c>
    </row>
    <row r="48">
      <c r="A48" t="n">
        <v>10</v>
      </c>
      <c r="B48" s="564" t="inlineStr">
        <is>
          <t>D5</t>
        </is>
      </c>
      <c r="C48" s="564" t="n">
        <v>74</v>
      </c>
      <c r="D48" s="481">
        <f>440*2^((C48-69)/12)</f>
        <v/>
      </c>
      <c r="E48" s="482">
        <f>SQRT($B$9*$B$7/D48)</f>
        <v/>
      </c>
      <c r="F48" s="481">
        <f>E48*25.4</f>
        <v/>
      </c>
      <c r="G48" s="482">
        <f>E48+$B$10</f>
        <v/>
      </c>
      <c r="H48" t="inlineStr">
        <is>
          <t>Center</t>
        </is>
      </c>
      <c r="I48" s="472">
        <f>IF(E48&lt;=$B$35,"OK","⚠️ TOO LONG")</f>
        <v/>
      </c>
    </row>
    <row r="50" ht="15" customHeight="1" s="817">
      <c r="A50" s="743" t="inlineStr">
        <is>
          <t>FIT ANALYSIS — Tongue Length vs Shell Radius</t>
        </is>
      </c>
      <c r="B50" s="744" t="n"/>
      <c r="C50" s="744" t="n"/>
      <c r="D50" s="744" t="n"/>
      <c r="E50" s="744" t="n"/>
    </row>
    <row r="51">
      <c r="A51" t="inlineStr">
        <is>
          <t>Wood tongues are MUCH longer than steel at same pitch. D3 Kurd won't fit any practical shell. Solutions:</t>
        </is>
      </c>
    </row>
    <row r="52">
      <c r="A52" s="486" t="inlineStr">
        <is>
          <t>Config</t>
        </is>
      </c>
      <c r="B52" s="486" t="inlineStr">
        <is>
          <t>D3 Tongue (in)</t>
        </is>
      </c>
      <c r="C52" s="486" t="inlineStr">
        <is>
          <t>Max (in)</t>
        </is>
      </c>
      <c r="D52" s="486" t="inlineStr">
        <is>
          <t>Tongues Fit</t>
        </is>
      </c>
      <c r="E52" s="486" t="inlineStr">
        <is>
          <t>Verdict</t>
        </is>
      </c>
    </row>
    <row r="53">
      <c r="A53" t="inlineStr">
        <is>
          <t>D3 Kurd, 3/8" Padauk, 12"</t>
        </is>
      </c>
      <c r="B53" s="481" t="n">
        <v>7.9</v>
      </c>
      <c r="C53" t="n">
        <v>5</v>
      </c>
      <c r="D53" s="695" t="n">
        <v>46123</v>
      </c>
      <c r="E53" t="inlineStr">
        <is>
          <t>❌</t>
        </is>
      </c>
    </row>
    <row r="54">
      <c r="A54" t="inlineStr">
        <is>
          <t>D3 Kurd, 3/8" Padauk, 16"</t>
        </is>
      </c>
      <c r="B54" s="481" t="n">
        <v>7.9</v>
      </c>
      <c r="C54" t="n">
        <v>7</v>
      </c>
      <c r="D54" s="695" t="n">
        <v>46214</v>
      </c>
      <c r="E54" t="inlineStr">
        <is>
          <t>⚠️</t>
        </is>
      </c>
    </row>
    <row r="55">
      <c r="A55" t="inlineStr">
        <is>
          <t>D4 Kurd, 3/8" Padauk, 12"</t>
        </is>
      </c>
      <c r="B55" s="481" t="n">
        <v>5.6</v>
      </c>
      <c r="C55" t="n">
        <v>5</v>
      </c>
      <c r="D55" s="695" t="n">
        <v>46306</v>
      </c>
      <c r="E55" t="inlineStr">
        <is>
          <t>✅</t>
        </is>
      </c>
    </row>
    <row r="56">
      <c r="A56" t="inlineStr">
        <is>
          <t>D4 Kurd, 3/8" Padauk, 14"</t>
        </is>
      </c>
      <c r="B56" s="481" t="n">
        <v>5.6</v>
      </c>
      <c r="C56" t="n">
        <v>6</v>
      </c>
      <c r="D56" s="695" t="inlineStr">
        <is>
          <t>ALL 11</t>
        </is>
      </c>
      <c r="E56" t="inlineStr">
        <is>
          <t>✅✅</t>
        </is>
      </c>
    </row>
    <row r="57">
      <c r="A57" t="inlineStr">
        <is>
          <t>D4 Kurd, 1/4" Cedar, 12"</t>
        </is>
      </c>
      <c r="B57" s="481">
        <f>SQRT(29013*0.25/293.66)</f>
        <v/>
      </c>
      <c r="C57" t="n">
        <v>5</v>
      </c>
      <c r="D57" t="inlineStr">
        <is>
          <t>ALL 11</t>
        </is>
      </c>
      <c r="E57" t="inlineStr">
        <is>
          <t>✅✅</t>
        </is>
      </c>
    </row>
    <row r="59">
      <c r="A59" s="770" t="inlineStr">
        <is>
          <t>RECOMMENDED: D4 Kurd + 3/8" Padauk + 14" shell (all 11 fit with margin)</t>
        </is>
      </c>
    </row>
    <row r="60">
      <c r="A60" s="734" t="inlineStr">
        <is>
          <t>KEY INSIGHT: Wood K (~24k) vs Steel K (~32k) means wood tongues are ~30% longer at same pitch.</t>
        </is>
      </c>
    </row>
    <row r="62" ht="15" customHeight="1" s="817">
      <c r="A62" s="738" t="inlineStr">
        <is>
          <t>CONCEPT A: Segmented Bowl + Flat CNC Soundboard</t>
        </is>
      </c>
      <c r="B62" s="739" t="n"/>
      <c r="C62" s="739" t="n"/>
      <c r="D62" s="739" t="n"/>
      <c r="E62" s="739" t="n"/>
      <c r="F62" s="739" t="n"/>
    </row>
    <row r="63">
      <c r="A63" t="inlineStr">
        <is>
          <t>Description</t>
        </is>
      </c>
      <c r="B63" t="inlineStr">
        <is>
          <t>Segmented ring-stack bowl (like Ashiko/Conga) turned on lathe + flat tonewood disc glued on top with CNC-cut tongues</t>
        </is>
      </c>
    </row>
    <row r="64">
      <c r="A64" t="inlineStr">
        <is>
          <t>Bowl: Rings</t>
        </is>
      </c>
      <c r="B64" s="564" t="n">
        <v>8</v>
      </c>
      <c r="C64" t="inlineStr">
        <is>
          <t>rings</t>
        </is>
      </c>
    </row>
    <row r="65">
      <c r="A65" t="inlineStr">
        <is>
          <t>Bowl: Segments/Ring</t>
        </is>
      </c>
      <c r="B65" s="564" t="n">
        <v>12</v>
      </c>
    </row>
    <row r="66">
      <c r="A66" t="inlineStr">
        <is>
          <t>Bowl: Miter Angle</t>
        </is>
      </c>
      <c r="B66" s="771">
        <f>180/B65</f>
        <v/>
      </c>
    </row>
    <row r="67">
      <c r="A67" t="inlineStr">
        <is>
          <t>Bowl: Total Pieces</t>
        </is>
      </c>
      <c r="B67" s="540">
        <f>B64*B65</f>
        <v/>
      </c>
    </row>
    <row r="68">
      <c r="A68" t="inlineStr">
        <is>
          <t>Bowl: Wall Thickness</t>
        </is>
      </c>
      <c r="B68" s="596" t="n">
        <v>0.75</v>
      </c>
      <c r="C68" t="inlineStr">
        <is>
          <t>After turning</t>
        </is>
      </c>
    </row>
    <row r="69">
      <c r="A69" t="inlineStr">
        <is>
          <t>Bowl: Ring Thickness</t>
        </is>
      </c>
      <c r="B69" s="596" t="n">
        <v>0.75</v>
      </c>
    </row>
    <row r="70">
      <c r="A70" t="inlineStr">
        <is>
          <t>Soundboard Disc</t>
        </is>
      </c>
      <c r="B70" s="481">
        <f>B5</f>
        <v/>
      </c>
      <c r="C70" t="inlineStr">
        <is>
          <t>in diam flat disc; glue to bowl rim</t>
        </is>
      </c>
    </row>
    <row r="71">
      <c r="A71" t="inlineStr">
        <is>
          <t>Pros</t>
        </is>
      </c>
      <c r="B71" t="inlineStr">
        <is>
          <t>Proven technique (you've built 3 segmented drums); beautiful multi-wood patterns; reliable cantilever physics on flat top</t>
        </is>
      </c>
    </row>
    <row r="72">
      <c r="A72" t="inlineStr">
        <is>
          <t>Cons</t>
        </is>
      </c>
      <c r="B72" t="inlineStr">
        <is>
          <t>96 segments to cut; lathe turning required; heavy</t>
        </is>
      </c>
    </row>
    <row r="73">
      <c r="A73" t="inlineStr">
        <is>
          <t>Tools</t>
        </is>
      </c>
      <c r="B73" t="inlineStr">
        <is>
          <t>Table saw + miter sled (segments), wood lathe (turning), CNC router (tongue slits), drill press (Gu port)</t>
        </is>
      </c>
    </row>
    <row r="75" ht="15" customHeight="1" s="817">
      <c r="A75" s="735" t="inlineStr">
        <is>
          <t>CONCEPT B: Stave Shell + Flat CNC Soundboard</t>
        </is>
      </c>
      <c r="B75" s="736" t="n"/>
      <c r="C75" s="736" t="n"/>
      <c r="D75" s="736" t="n"/>
      <c r="E75" s="736" t="n"/>
      <c r="F75" s="736" t="n"/>
    </row>
    <row r="76">
      <c r="A76" t="inlineStr">
        <is>
          <t>Description</t>
        </is>
      </c>
      <c r="B76" t="inlineStr">
        <is>
          <t>Vertical staves ripped at miter angle, glued edge-to-edge around form, turned on lathe + flat tonewood soundboard</t>
        </is>
      </c>
    </row>
    <row r="77">
      <c r="A77" t="inlineStr">
        <is>
          <t>Staves: Count</t>
        </is>
      </c>
      <c r="B77" s="564" t="n">
        <v>16</v>
      </c>
    </row>
    <row r="78">
      <c r="A78" t="inlineStr">
        <is>
          <t>Staves: Miter Angle</t>
        </is>
      </c>
      <c r="B78" s="772">
        <f>180/B77</f>
        <v/>
      </c>
    </row>
    <row r="79">
      <c r="A79" t="inlineStr">
        <is>
          <t>Stave Width at Rim</t>
        </is>
      </c>
      <c r="B79" s="482">
        <f>PI()*B5/B77</f>
        <v/>
      </c>
      <c r="C79" t="inlineStr">
        <is>
          <t>in — widest point</t>
        </is>
      </c>
    </row>
    <row r="80">
      <c r="A80" t="inlineStr">
        <is>
          <t>Stave Height</t>
        </is>
      </c>
      <c r="B80" s="481">
        <f>B6+1</f>
        <v/>
      </c>
      <c r="C80" t="inlineStr">
        <is>
          <t>in — bowl depth + 1" rim overshoot</t>
        </is>
      </c>
    </row>
    <row r="81">
      <c r="A81" t="inlineStr">
        <is>
          <t>Stave Thickness</t>
        </is>
      </c>
      <c r="B81" s="565" t="n">
        <v>1</v>
      </c>
      <c r="C81" t="inlineStr">
        <is>
          <t>in — turns down to ~3/4" wall</t>
        </is>
      </c>
    </row>
    <row r="82">
      <c r="A82" t="inlineStr">
        <is>
          <t>Pros</t>
        </is>
      </c>
      <c r="B82" t="inlineStr">
        <is>
          <t>Only 16 pieces; continuous grain = better acoustics; faster than 96 segments; elegant look</t>
        </is>
      </c>
    </row>
    <row r="83">
      <c r="A83" t="inlineStr">
        <is>
          <t>Cons</t>
        </is>
      </c>
      <c r="B83" t="inlineStr">
        <is>
          <t>Each stave must taper from rim width to narrow base; needs interior form or faceplate for turning</t>
        </is>
      </c>
    </row>
    <row r="84">
      <c r="A84" t="inlineStr">
        <is>
          <t>Tools</t>
        </is>
      </c>
      <c r="B84" t="inlineStr">
        <is>
          <t>Table saw (rip staves at miter), wood lathe + faceplate, band clamp (glue-up), CNC router (tongue slits)</t>
        </is>
      </c>
    </row>
    <row r="86" ht="15" customHeight="1" s="817">
      <c r="A86" s="764" t="inlineStr">
        <is>
          <t>CONCEPT C: Full Sphere — CNC Carved Hemispheres with Curved Tongues</t>
        </is>
      </c>
      <c r="B86" s="765" t="n"/>
      <c r="C86" s="765" t="n"/>
      <c r="D86" s="765" t="n"/>
      <c r="E86" s="765" t="n"/>
      <c r="F86" s="765" t="n"/>
    </row>
    <row r="87">
      <c r="A87" t="inlineStr">
        <is>
          <t>Description</t>
        </is>
      </c>
      <c r="B87" t="inlineStr">
        <is>
          <t>Two hemispheres CNC-carved from thick glue-ups (split-blank style). Tongue slits CNC-cut or laser-cut into curved top shell.</t>
        </is>
      </c>
    </row>
    <row r="88">
      <c r="A88" t="inlineStr">
        <is>
          <t>Top Blank</t>
        </is>
      </c>
      <c r="B88" s="481">
        <f>B5+1</f>
        <v/>
      </c>
      <c r="C88" t="inlineStr">
        <is>
          <t>in square glue-up, min 4" thick</t>
        </is>
      </c>
    </row>
    <row r="89">
      <c r="A89" t="inlineStr">
        <is>
          <t>Bottom Blank</t>
        </is>
      </c>
      <c r="B89" s="481">
        <f>B5+1</f>
        <v/>
      </c>
      <c r="C89" t="inlineStr">
        <is>
          <t>in square glue-up, min 3" thick</t>
        </is>
      </c>
    </row>
    <row r="90">
      <c r="A90" t="inlineStr">
        <is>
          <t>CNC Strategy</t>
        </is>
      </c>
      <c r="B90" t="inlineStr">
        <is>
          <t>3D surfacing: 3/4" ball-end for exterior convex, flip-jig with datum pins for interior concave</t>
        </is>
      </c>
    </row>
    <row r="91">
      <c r="A91" t="inlineStr">
        <is>
          <t>Tongue Cutting</t>
        </is>
      </c>
      <c r="B91" t="inlineStr">
        <is>
          <t>CNC with 1/8" upcut spiral on curved surface; OR laser-cut after flattening (experimental)</t>
        </is>
      </c>
    </row>
    <row r="92">
      <c r="A92" t="inlineStr">
        <is>
          <t>Wall Thickness</t>
        </is>
      </c>
      <c r="B92" s="564" t="inlineStr">
        <is>
          <t>3/8" at tongue fields; can taper thicker at rim for strength</t>
        </is>
      </c>
    </row>
    <row r="93">
      <c r="A93" t="inlineStr">
        <is>
          <t>Tuning Note</t>
        </is>
      </c>
      <c r="B93" t="inlineStr">
        <is>
          <t>Cantilever formula assumes FLAT beam. Curved tongues vibrate differently — expect empirical tuning (file to pitch)</t>
        </is>
      </c>
    </row>
    <row r="94">
      <c r="A94" t="inlineStr">
        <is>
          <t>Pros</t>
        </is>
      </c>
      <c r="B94" t="inlineStr">
        <is>
          <t>Closest to steel tongue drum appearance; fully enclosed sphere; most visually striking</t>
        </is>
      </c>
    </row>
    <row r="95">
      <c r="A95" t="inlineStr">
        <is>
          <t>Cons</t>
        </is>
      </c>
      <c r="B95" t="inlineStr">
        <is>
          <t>MOST challenging: curved tongue physics are unpredictable; massive CNC time (3D surfacing both sides); waste material</t>
        </is>
      </c>
    </row>
    <row r="96">
      <c r="A96" t="inlineStr">
        <is>
          <t>Tools</t>
        </is>
      </c>
      <c r="B96" t="inlineStr">
        <is>
          <t>CNC router (3D surfacing + flip jig + tongue slits), jointer/planer (glue-up prep), flexible epoxy (join halves)</t>
        </is>
      </c>
    </row>
    <row r="97">
      <c r="A97" t="inlineStr">
        <is>
          <t>Risk Level</t>
        </is>
      </c>
      <c r="B97" s="756" t="inlineStr">
        <is>
          <t>⚠️ HIGH — Prototype first. Use cheap wood (poplar) for initial test. Tuning will require extensive filing.</t>
        </is>
      </c>
    </row>
    <row r="99" ht="15" customHeight="1" s="817">
      <c r="A99" s="747" t="inlineStr">
        <is>
          <t>CONCEPT COMPARISON</t>
        </is>
      </c>
      <c r="B99" s="748" t="n"/>
      <c r="C99" s="748" t="n"/>
      <c r="D99" s="748" t="n"/>
      <c r="E99" s="748" t="n"/>
    </row>
    <row r="100">
      <c r="A100" s="768" t="n"/>
      <c r="B100" s="768" t="inlineStr">
        <is>
          <t>A: Segmented</t>
        </is>
      </c>
      <c r="C100" s="768" t="inlineStr">
        <is>
          <t>B: Stave</t>
        </is>
      </c>
      <c r="D100" s="768" t="inlineStr">
        <is>
          <t>C: CNC Sphere</t>
        </is>
      </c>
    </row>
    <row r="101">
      <c r="A101" t="inlineStr">
        <is>
          <t>Difficulty</t>
        </is>
      </c>
      <c r="B101" t="inlineStr">
        <is>
          <t>★★☆ (proven)</t>
        </is>
      </c>
      <c r="C101" t="inlineStr">
        <is>
          <t>★★☆ (moderate)</t>
        </is>
      </c>
      <c r="D101" t="inlineStr">
        <is>
          <t>★★★ (experimental)</t>
        </is>
      </c>
    </row>
    <row r="102">
      <c r="A102" t="inlineStr">
        <is>
          <t>Piece Count</t>
        </is>
      </c>
      <c r="B102" t="inlineStr">
        <is>
          <t>96 segments + 1 disc</t>
        </is>
      </c>
      <c r="C102" t="inlineStr">
        <is>
          <t>16 staves + 1 disc</t>
        </is>
      </c>
      <c r="D102" t="inlineStr">
        <is>
          <t>2 blanks (glue-ups)</t>
        </is>
      </c>
    </row>
    <row r="103">
      <c r="A103" t="inlineStr">
        <is>
          <t>Lathe Required?</t>
        </is>
      </c>
      <c r="B103" t="inlineStr">
        <is>
          <t>Yes (exterior)</t>
        </is>
      </c>
      <c r="C103" t="inlineStr">
        <is>
          <t>Yes (exterior)</t>
        </is>
      </c>
      <c r="D103" t="inlineStr">
        <is>
          <t>No (CNC only)</t>
        </is>
      </c>
    </row>
    <row r="104">
      <c r="A104" t="inlineStr">
        <is>
          <t>CNC Required?</t>
        </is>
      </c>
      <c r="B104" t="inlineStr">
        <is>
          <t>Yes (tongue slits)</t>
        </is>
      </c>
      <c r="C104" t="inlineStr">
        <is>
          <t>Yes (tongue slits)</t>
        </is>
      </c>
      <c r="D104" t="inlineStr">
        <is>
          <t>Yes (everything)</t>
        </is>
      </c>
    </row>
    <row r="105">
      <c r="A105" t="inlineStr">
        <is>
          <t>Tuning Reliability</t>
        </is>
      </c>
      <c r="B105" t="inlineStr">
        <is>
          <t>High (flat cantilever)</t>
        </is>
      </c>
      <c r="C105" t="inlineStr">
        <is>
          <t>High (flat cantilever)</t>
        </is>
      </c>
      <c r="D105" t="inlineStr">
        <is>
          <t>Low (curved — empirical)</t>
        </is>
      </c>
    </row>
    <row r="106">
      <c r="A106" t="inlineStr">
        <is>
          <t>Est. Material Cost</t>
        </is>
      </c>
      <c r="B106" t="inlineStr">
        <is>
          <t>$40-80</t>
        </is>
      </c>
      <c r="C106" t="inlineStr">
        <is>
          <t>$30-60</t>
        </is>
      </c>
      <c r="D106" t="inlineStr">
        <is>
          <t>$60-120</t>
        </is>
      </c>
    </row>
    <row r="107">
      <c r="A107" t="inlineStr">
        <is>
          <t>Build Time</t>
        </is>
      </c>
      <c r="B107" t="inlineStr">
        <is>
          <t>12-16 hours</t>
        </is>
      </c>
      <c r="C107" t="inlineStr">
        <is>
          <t>8-12 hours</t>
        </is>
      </c>
      <c r="D107" t="inlineStr">
        <is>
          <t>20-30 hours</t>
        </is>
      </c>
    </row>
    <row r="108">
      <c r="A108" t="inlineStr">
        <is>
          <t>Visual Impact</t>
        </is>
      </c>
      <c r="B108" t="inlineStr">
        <is>
          <t>Beautiful patterns</t>
        </is>
      </c>
      <c r="C108" t="inlineStr">
        <is>
          <t>Clean grain</t>
        </is>
      </c>
      <c r="D108" t="inlineStr">
        <is>
          <t>Most striking</t>
        </is>
      </c>
    </row>
    <row r="109">
      <c r="A109" t="inlineStr">
        <is>
          <t>Recommendation</t>
        </is>
      </c>
      <c r="B109" s="770" t="inlineStr">
        <is>
          <t>⭐ Start here</t>
        </is>
      </c>
      <c r="C109" t="inlineStr">
        <is>
          <t>Great 2nd build</t>
        </is>
      </c>
      <c r="D109" t="inlineStr">
        <is>
          <t>Ambitious prototype</t>
        </is>
      </c>
    </row>
    <row r="111" ht="15" customHeight="1" s="817">
      <c r="A111" s="751" t="inlineStr">
        <is>
          <t>DESIGN NOTES</t>
        </is>
      </c>
      <c r="B111" s="752" t="n"/>
      <c r="C111" s="752" t="n"/>
      <c r="D111" s="752" t="n"/>
    </row>
    <row r="112">
      <c r="A112" t="inlineStr">
        <is>
          <t>1. Wood tongue drums need D4+ Ding on 12-14" shells. D3 Ding requires 16"+ shell or impractically thick soundboard.</t>
        </is>
      </c>
    </row>
    <row r="113">
      <c r="A113" t="inlineStr">
        <is>
          <t>2. Thicker soundboard = LONGER tongues (L grows with sqrt of t). Use thinner board with higher-K wood for compact design.</t>
        </is>
      </c>
    </row>
    <row r="114">
      <c r="A114" t="inlineStr">
        <is>
          <t>3. The enclosed bowl adds Helmholtz resonance your rectangular box tongue drums don't have — expect noticeably more sustain and bass warmth.</t>
        </is>
      </c>
    </row>
    <row r="115">
      <c r="A115" t="inlineStr">
        <is>
          <t>4. For Concepts A &amp; B, the soundboard-to-bowl joint is critical. Use tight-fitting rabbet joint + wood glue for best acoustic transfer.</t>
        </is>
      </c>
    </row>
    <row r="116">
      <c r="A116" t="inlineStr">
        <is>
          <t>5. CNC tongue slit layout: use same radial pattern as steel tongue drums (zigzag ascending). Program in SolidWorks parametric table.</t>
        </is>
      </c>
    </row>
    <row r="117">
      <c r="A117" t="inlineStr">
        <is>
          <t>6. Gu port: drill through thickest part of bowl bottom. Fit with rubber O-ring (same as Handpan sheet).</t>
        </is>
      </c>
    </row>
    <row r="118">
      <c r="A118" t="inlineStr">
        <is>
          <t>7. Concept C: If curved tongues don't produce reliable pitches, consider hybrid — CNC sphere with a FLAT inset panel for tongues.</t>
        </is>
      </c>
    </row>
    <row r="119">
      <c r="A119" t="inlineStr">
        <is>
          <t>8. The bowl acts as a parabolic reflector — sound projects upward through the tongue slits. Player hears clear attack; audience hears full resonance.</t>
        </is>
      </c>
    </row>
    <row r="120">
      <c r="A120" t="inlineStr">
        <is>
          <t>9. Weight: segmented bowl ~3-5 lbs + soundboard ~1 lb = total 4-6 lbs. Stave = lighter. CNC sphere = heaviest.</t>
        </is>
      </c>
    </row>
    <row r="121">
      <c r="A121" t="inlineStr">
        <is>
          <t>10. This is an ORIGINAL DESIGN — no commercial wood shell tongue drums exist at this level. Document everything for your portfolio.</t>
        </is>
      </c>
    </row>
    <row r="124" ht="18" customHeight="1" s="817">
      <c r="A124" s="802" t="inlineStr">
        <is>
          <t>WOLFRAM CLOUD NOTEBOOK SPEC — WOOD SHELL TONGUE DRUM</t>
        </is>
      </c>
    </row>
    <row r="125">
      <c r="A125" s="734" t="inlineStr">
        <is>
          <t>Hybrid: wooden cylindrical shell + steel tongue plate top — combines wood resonance with steel tongue clarity.</t>
        </is>
      </c>
    </row>
    <row r="127">
      <c r="A127" s="609" t="inlineStr">
        <is>
          <t>§1 — Origin &amp; Etymology</t>
        </is>
      </c>
    </row>
    <row r="128">
      <c r="A128" t="inlineStr">
        <is>
          <t>Hybrid design: combines steel tongue drum (Hapi-style, ~2007) with stave-built wooden shell. Original/contemporary maker scene.</t>
        </is>
      </c>
    </row>
    <row r="129">
      <c r="A129" t="inlineStr">
        <is>
          <t>Wolfram items: TimelinePlot[{ancient log drums, 2007 Hapi, 2010s artisan hybrids}].</t>
        </is>
      </c>
    </row>
    <row r="131">
      <c r="A131" s="609" t="inlineStr">
        <is>
          <t>§2 — Physics</t>
        </is>
      </c>
    </row>
    <row r="132">
      <c r="A132" t="inlineStr">
        <is>
          <t>Tongues: steel cantilever, f = K·t/L² with K_steel &gt;&gt; K_wood (steel ~6× higher K). Shorter tongues for same pitch as wood.</t>
        </is>
      </c>
    </row>
    <row r="133">
      <c r="A133" t="inlineStr">
        <is>
          <t>Wood shell: resonant cylinder + Helmholtz cavity. Adds warmth, sustain, bass.</t>
        </is>
      </c>
    </row>
    <row r="134">
      <c r="A134" t="inlineStr">
        <is>
          <t>Coupling between steel tongue and wood shell: steel modes drive shell modes through clamped boundary.</t>
        </is>
      </c>
    </row>
    <row r="135">
      <c r="A135" t="inlineStr">
        <is>
          <t>Wolfram functions: NDEigensystem cantilever steel; NDSolve cylinder modes; cross-spectrum analysis.</t>
        </is>
      </c>
    </row>
    <row r="137">
      <c r="A137" s="609" t="inlineStr">
        <is>
          <t>§3 — Geometry &amp; Construction</t>
        </is>
      </c>
    </row>
    <row r="138">
      <c r="A138" t="inlineStr">
        <is>
          <t>Shell: stave-built or segmented cylinder (similar to ashiko/conga construction but smaller).</t>
        </is>
      </c>
    </row>
    <row r="139">
      <c r="A139" t="inlineStr">
        <is>
          <t>Steel top plate with cut tongues bolted/glued onto shell. Plate steel ~2–3 mm thick.</t>
        </is>
      </c>
    </row>
    <row r="140">
      <c r="A140" t="inlineStr">
        <is>
          <t>Wolfram items: Manipulate plate thickness + tongue lengths + shell dims → frequencies.</t>
        </is>
      </c>
    </row>
    <row r="142">
      <c r="A142" s="609" t="inlineStr">
        <is>
          <t>§4 — Animations</t>
        </is>
      </c>
    </row>
    <row r="143">
      <c r="A143" t="inlineStr">
        <is>
          <t>Tongue mode Animate on flat steel plate.</t>
        </is>
      </c>
    </row>
    <row r="144">
      <c r="A144" t="inlineStr">
        <is>
          <t>Shell-cavity coupling visualization: see how plate vibration drives air column inside shell.</t>
        </is>
      </c>
    </row>
    <row r="146">
      <c r="A146" s="609" t="inlineStr">
        <is>
          <t>§5 — Executable Cells</t>
        </is>
      </c>
    </row>
    <row r="147">
      <c r="A147" t="inlineStr">
        <is>
          <t>kSteel := (1.875^2/(2 π)) Sqrt[200 10^9 /(12·7850)] / 0.0254</t>
        </is>
      </c>
    </row>
    <row r="148">
      <c r="A148" t="inlineStr">
        <is>
          <t>fTongueSteel[t_,L_]:=kSteel t / L^2</t>
        </is>
      </c>
    </row>
    <row r="149">
      <c r="A149" t="inlineStr">
        <is>
          <t>fShellHelm[A_,V_,Lneck_]:=(c/(2 π)) Sqrt[A/(V Lneck)]</t>
        </is>
      </c>
    </row>
    <row r="151">
      <c r="A151" s="609" t="inlineStr">
        <is>
          <t>§6 — Wolfram Functions</t>
        </is>
      </c>
    </row>
    <row r="152">
      <c r="A152" t="inlineStr">
        <is>
          <t>NDEigensystem, NDSolve, Manipulate, Animate, Periodogram, CloudDeploy, FormFunction.</t>
        </is>
      </c>
    </row>
    <row r="158" ht="18" customHeight="1" s="817">
      <c r="A158" s="807" t="inlineStr">
        <is>
          <t>WOLFRAM EXPLORATIONS — WOOD SHELL TONGUE DRUM</t>
        </is>
      </c>
    </row>
    <row r="159">
      <c r="A159" s="734" t="inlineStr">
        <is>
          <t>Roadmap-inspired notebook ideas mapped to this instrument.</t>
        </is>
      </c>
    </row>
    <row r="161">
      <c r="A161" s="808" t="inlineStr">
        <is>
          <t>Coupled physics</t>
        </is>
      </c>
    </row>
    <row r="162">
      <c r="A162" s="811" t="inlineStr">
        <is>
          <t>→ Helmholtz + Tongue Coupling + Shell Modes (roadmap)</t>
        </is>
      </c>
    </row>
    <row r="163">
      <c r="A163" t="inlineStr">
        <is>
          <t>3-DOF coupled oscillator: steel tongue + wood shell + air cavity. Eigenvalue split shows how the wood shell adds a third mode that boosts sustain.</t>
        </is>
      </c>
    </row>
    <row r="164">
      <c r="A164" t="inlineStr">
        <is>
          <t>Compare to all-steel tongue drum (Steel Tongue Drum sheet) — same scale, different shell material; which is more sustained?</t>
        </is>
      </c>
    </row>
    <row r="166">
      <c r="A166" s="808" t="inlineStr">
        <is>
          <t>Design optimization</t>
        </is>
      </c>
    </row>
    <row r="167">
      <c r="A167" s="811" t="inlineStr">
        <is>
          <t>→ Optimal Shell Size Finder (roadmap: NMinimize)</t>
        </is>
      </c>
    </row>
    <row r="168">
      <c r="A168" t="inlineStr">
        <is>
          <t>Given pentatonic scale + steel plate K, find min shell diameter that fits all tongues + leaves room for bolt pattern.</t>
        </is>
      </c>
    </row>
    <row r="170">
      <c r="A170" s="808" t="inlineStr">
        <is>
          <t>Sound synthesis</t>
        </is>
      </c>
    </row>
    <row r="171">
      <c r="A171" t="inlineStr">
        <is>
          <t>AudioGenerator: synthesize wood-shelled vs steel-shelled vs ceramic-shelled tongue drums for the same scale; spectrogram comparison.</t>
        </is>
      </c>
    </row>
    <row r="172"/>
    <row r="173"/>
    <row r="174"/>
    <row r="175">
      <c r="A175" s="850" t="inlineStr">
        <is>
          <t>ROUND-BODY VARIANT MATRIX — Cylinder × Hemisphere × Flat × Dome × Three Sizes</t>
        </is>
      </c>
    </row>
    <row r="176">
      <c r="A176" s="851" t="inlineStr">
        <is>
          <t>Extends Concepts A/B/C above with explicit round-body design candidates. Four geometric variants × three size presets = 12 design candidates. Each variant carries its own chamber-volume formula, Helmholtz coupling, and tongue-fit verdict. All values are formulas tied to the SIZE PRESETS block below — change a preset cell and the entire matrix updates.</t>
        </is>
      </c>
    </row>
    <row r="177"/>
    <row r="178">
      <c r="A178" s="850" t="inlineStr">
        <is>
          <t>§B. SIZE PRESETS</t>
        </is>
      </c>
    </row>
    <row r="179">
      <c r="A179" s="852" t="inlineStr">
        <is>
          <t>Parameter</t>
        </is>
      </c>
      <c r="B179" s="852" t="inlineStr">
        <is>
          <t>Travel (12")</t>
        </is>
      </c>
      <c r="C179" s="852" t="inlineStr">
        <is>
          <t>Standard (16")</t>
        </is>
      </c>
      <c r="D179" s="852" t="inlineStr">
        <is>
          <t>Floor Pouf (20")</t>
        </is>
      </c>
      <c r="E179" s="852" t="inlineStr">
        <is>
          <t>Notes</t>
        </is>
      </c>
    </row>
    <row r="180">
      <c r="A180" s="853" t="inlineStr">
        <is>
          <t>Outer Diameter (in)</t>
        </is>
      </c>
      <c r="B180" s="854" t="n">
        <v>12</v>
      </c>
      <c r="C180" s="854" t="n">
        <v>16</v>
      </c>
      <c r="D180" s="854" t="n">
        <v>20</v>
      </c>
      <c r="E180" s="855" t="inlineStr">
        <is>
          <t>Travel matches steel-pan size; Standard ≈ Moroccan ottoman; Floor Pouf ≈ tall lounge piece</t>
        </is>
      </c>
    </row>
    <row r="181">
      <c r="A181" s="853" t="inlineStr">
        <is>
          <t>Shell Height (in)</t>
        </is>
      </c>
      <c r="B181" s="854" t="n">
        <v>5</v>
      </c>
      <c r="C181" s="854" t="n">
        <v>8</v>
      </c>
      <c r="D181" s="854" t="n">
        <v>10</v>
      </c>
      <c r="E181" s="855" t="inlineStr">
        <is>
          <t>Cylinder body height (rim to floor)</t>
        </is>
      </c>
    </row>
    <row r="182">
      <c r="A182" s="853" t="inlineStr">
        <is>
          <t>Soundboard Thickness (in)</t>
        </is>
      </c>
      <c r="B182" s="856" t="n">
        <v>0.25</v>
      </c>
      <c r="C182" s="856" t="n">
        <v>0.375</v>
      </c>
      <c r="D182" s="856" t="n">
        <v>0.5</v>
      </c>
      <c r="E182" s="855" t="inlineStr">
        <is>
          <t>Travel 12 in uses 1/4 in for fit; Standard 16 in 3/8 in; Floor Pouf 20 in 1/2 in for stiffness across span</t>
        </is>
      </c>
    </row>
    <row r="183">
      <c r="A183" s="853" t="inlineStr">
        <is>
          <t>Soundboard Wood</t>
        </is>
      </c>
      <c r="B183" s="857" t="inlineStr">
        <is>
          <t>Padauk</t>
        </is>
      </c>
      <c r="C183" s="857" t="inlineStr">
        <is>
          <t>Padauk</t>
        </is>
      </c>
      <c r="D183" s="857" t="inlineStr">
        <is>
          <t>Padauk</t>
        </is>
      </c>
      <c r="E183" s="855" t="inlineStr">
        <is>
          <t>Cedar (K≈29,013) shortens tongues — use on tight-fit configs</t>
        </is>
      </c>
    </row>
    <row r="184">
      <c r="A184" s="853" t="inlineStr">
        <is>
          <t>Cantilever K (from library)</t>
        </is>
      </c>
      <c r="B184" s="854" t="n">
        <v>24438</v>
      </c>
      <c r="C184" s="854" t="n">
        <v>24438</v>
      </c>
      <c r="D184" s="854" t="n">
        <v>24438</v>
      </c>
      <c r="E184" s="855" t="inlineStr">
        <is>
          <t>Padauk K = 24,438 (see library row 19). Update if wood changes.</t>
        </is>
      </c>
    </row>
    <row r="185">
      <c r="A185" s="853" t="inlineStr">
        <is>
          <t>Slit Kerf Width (in)</t>
        </is>
      </c>
      <c r="B185" s="856" t="n">
        <v>0.125</v>
      </c>
      <c r="C185" s="856" t="n">
        <v>0.125</v>
      </c>
      <c r="D185" s="856" t="n">
        <v>0.125</v>
      </c>
      <c r="E185" s="855" t="inlineStr">
        <is>
          <t>1/8" CNC upcut spiral — same on all sizes</t>
        </is>
      </c>
    </row>
    <row r="186">
      <c r="A186" s="853" t="inlineStr">
        <is>
          <t>Tongue Width (in)</t>
        </is>
      </c>
      <c r="B186" s="856" t="n">
        <v>1</v>
      </c>
      <c r="C186" s="856" t="n">
        <v>1.25</v>
      </c>
      <c r="D186" s="856" t="n">
        <v>1.5</v>
      </c>
      <c r="E186" s="855" t="inlineStr">
        <is>
          <t>Wider tongues = more volume; pitch unchanged</t>
        </is>
      </c>
    </row>
    <row r="187">
      <c r="A187" s="853" t="inlineStr">
        <is>
          <t>Number of Tongues</t>
        </is>
      </c>
      <c r="B187" s="854" t="n">
        <v>11</v>
      </c>
      <c r="C187" s="854" t="n">
        <v>11</v>
      </c>
      <c r="D187" s="854" t="n">
        <v>11</v>
      </c>
      <c r="E187" s="855" t="inlineStr">
        <is>
          <t>Standard 11-note (1 ding + 10 chromatic above) on all sizes</t>
        </is>
      </c>
    </row>
    <row r="188">
      <c r="A188" s="853" t="inlineStr">
        <is>
          <t>Scale</t>
        </is>
      </c>
      <c r="B188" s="857" t="inlineStr">
        <is>
          <t>D Kurd</t>
        </is>
      </c>
      <c r="C188" s="857" t="inlineStr">
        <is>
          <t>A Kurd</t>
        </is>
      </c>
      <c r="D188" s="857" t="inlineStr">
        <is>
          <t>D Kurd</t>
        </is>
      </c>
      <c r="E188" s="855" t="inlineStr">
        <is>
          <t>Match scale to ding fitness — see Variant blocks below</t>
        </is>
      </c>
    </row>
    <row r="189">
      <c r="A189" s="853" t="inlineStr">
        <is>
          <t>Target Ding Note</t>
        </is>
      </c>
      <c r="B189" s="857" t="inlineStr">
        <is>
          <t>D4</t>
        </is>
      </c>
      <c r="C189" s="857" t="inlineStr">
        <is>
          <t>A3</t>
        </is>
      </c>
      <c r="D189" s="857" t="inlineStr">
        <is>
          <t>D3</t>
        </is>
      </c>
      <c r="E189" s="855" t="inlineStr">
        <is>
          <t>Anchor pitch; 12" too small for D3 in wood</t>
        </is>
      </c>
    </row>
    <row r="190">
      <c r="A190" s="853" t="inlineStr">
        <is>
          <t>Ding MIDI #</t>
        </is>
      </c>
      <c r="B190" s="854" t="n">
        <v>62</v>
      </c>
      <c r="C190" s="854" t="n">
        <v>57</v>
      </c>
      <c r="D190" s="854" t="n">
        <v>50</v>
      </c>
      <c r="E190" s="855" t="inlineStr">
        <is>
          <t>D4=62, A3=57, D3=50</t>
        </is>
      </c>
    </row>
    <row r="191">
      <c r="A191" s="853" t="inlineStr">
        <is>
          <t>Ding Frequency (Hz)</t>
        </is>
      </c>
      <c r="B191" s="858">
        <f>440*2^((B190-69)/12)</f>
        <v/>
      </c>
      <c r="C191" s="858">
        <f>440*2^((C190-69)/12)</f>
        <v/>
      </c>
      <c r="D191" s="858">
        <f>440*2^((D190-69)/12)</f>
        <v/>
      </c>
      <c r="E191" s="855" t="inlineStr">
        <is>
          <t>Computed from MIDI #</t>
        </is>
      </c>
    </row>
    <row r="192">
      <c r="A192" s="853" t="inlineStr">
        <is>
          <t>Bowl/Shell Wood</t>
        </is>
      </c>
      <c r="B192" s="857" t="inlineStr">
        <is>
          <t>Black Walnut</t>
        </is>
      </c>
      <c r="C192" s="857" t="inlineStr">
        <is>
          <t>Black Walnut</t>
        </is>
      </c>
      <c r="D192" s="857" t="inlineStr">
        <is>
          <t>Black Walnut</t>
        </is>
      </c>
      <c r="E192" s="855" t="inlineStr">
        <is>
          <t>Bowl is structural — pick attractive hardwood</t>
        </is>
      </c>
    </row>
    <row r="193">
      <c r="A193" s="853" t="inlineStr">
        <is>
          <t>Gu Port Diameter (in)</t>
        </is>
      </c>
      <c r="B193" s="856" t="n">
        <v>2</v>
      </c>
      <c r="C193" s="856" t="n">
        <v>2.5</v>
      </c>
      <c r="D193" s="856" t="n">
        <v>3</v>
      </c>
      <c r="E193" s="855" t="inlineStr">
        <is>
          <t>Bottom port. Larger Ø → higher Helmholtz freq; tune to lowest tongue.</t>
        </is>
      </c>
    </row>
    <row r="194">
      <c r="A194" s="853" t="inlineStr">
        <is>
          <t>Dome Rise (in, top variants)</t>
        </is>
      </c>
      <c r="B194" s="856" t="n">
        <v>0.5</v>
      </c>
      <c r="C194" s="856" t="n">
        <v>0.75</v>
      </c>
      <c r="D194" s="856" t="n">
        <v>1</v>
      </c>
      <c r="E194" s="855" t="inlineStr">
        <is>
          <t>Crown height for Variants 2 &amp; 4. ≈ 4–6% of diameter.</t>
        </is>
      </c>
    </row>
    <row r="195">
      <c r="A195" s="853" t="inlineStr">
        <is>
          <t>Min Tongue Length Cap (in)</t>
        </is>
      </c>
      <c r="B195" s="859">
        <f>B180/2-1</f>
        <v/>
      </c>
      <c r="C195" s="859">
        <f>C180/2-1</f>
        <v/>
      </c>
      <c r="D195" s="859">
        <f>D180/2-1</f>
        <v/>
      </c>
      <c r="E195" s="855" t="inlineStr">
        <is>
          <t>Radial fit cap: radius − 1" Ding-area clearance</t>
        </is>
      </c>
    </row>
    <row r="197">
      <c r="A197" s="850" t="inlineStr">
        <is>
          <t>§C. VARIANT 1 — Ottoman Cylinder, Flat Top</t>
        </is>
      </c>
    </row>
    <row r="198">
      <c r="A198" s="851" t="inlineStr">
        <is>
          <t>Stave or segmented cylinder shell + flat tonewood disc soundboard glued/screwed to the rim. Closest to the existing rectangular-prism wood tongue drum but with a round footprint. The lowest piece-count and most predictable tuning of the four — recommended starting point.</t>
        </is>
      </c>
    </row>
    <row r="199">
      <c r="A199" s="860" t="inlineStr">
        <is>
          <t>Metric</t>
        </is>
      </c>
      <c r="B199" s="860" t="inlineStr">
        <is>
          <t>Travel 12"</t>
        </is>
      </c>
      <c r="C199" s="860" t="inlineStr">
        <is>
          <t>Standard 16"</t>
        </is>
      </c>
      <c r="D199" s="860" t="inlineStr">
        <is>
          <t>Floor Pouf 20"</t>
        </is>
      </c>
      <c r="E199" s="860" t="inlineStr">
        <is>
          <t>Comment</t>
        </is>
      </c>
    </row>
    <row r="200">
      <c r="A200" s="861" t="inlineStr">
        <is>
          <t>Chamber Volume (in³)</t>
        </is>
      </c>
      <c r="B200" s="862">
        <f>PI()*($B$180/2)^2*$B$181</f>
        <v/>
      </c>
      <c r="C200" s="862">
        <f>PI()*($C$180/2)^2*$C$181</f>
        <v/>
      </c>
      <c r="D200" s="862">
        <f>PI()*($D$180/2)^2*$D$181</f>
        <v/>
      </c>
      <c r="E200" s="855" t="inlineStr">
        <is>
          <t>Volume of enclosed air column (drives Helmholtz pitch)</t>
        </is>
      </c>
    </row>
    <row r="201">
      <c r="A201" s="861" t="inlineStr">
        <is>
          <t>Port Area (in²)</t>
        </is>
      </c>
      <c r="B201" s="858">
        <f>PI()*($B$193/2)^2</f>
        <v/>
      </c>
      <c r="C201" s="858">
        <f>PI()*($C$193/2)^2</f>
        <v/>
      </c>
      <c r="D201" s="858">
        <f>PI()*($D$193/2)^2</f>
        <v/>
      </c>
      <c r="E201" s="855" t="inlineStr">
        <is>
          <t>Bottom Gu port (=π·r²)</t>
        </is>
      </c>
    </row>
    <row r="202">
      <c r="A202" s="861" t="inlineStr">
        <is>
          <t>Effective Neck Length (in)</t>
        </is>
      </c>
      <c r="B202" s="859">
        <f>$B$182</f>
        <v/>
      </c>
      <c r="C202" s="859">
        <f>$C$182</f>
        <v/>
      </c>
      <c r="D202" s="859">
        <f>$D$182</f>
        <v/>
      </c>
      <c r="E202" s="855">
        <f> Soundboard thickness (port pierces only the bowl floor)</f>
        <v/>
      </c>
    </row>
    <row r="203">
      <c r="A203" s="861" t="inlineStr">
        <is>
          <t>Helmholtz Freq (Hz)</t>
        </is>
      </c>
      <c r="B203" s="862">
        <f>(13552/(2*PI()))*SQRT(B201/(B200*B202))</f>
        <v/>
      </c>
      <c r="C203" s="862">
        <f>(13552/(2*PI()))*SQRT(C201/(C200*C202))</f>
        <v/>
      </c>
      <c r="D203" s="862">
        <f>(13552/(2*PI()))*SQRT(D201/(D200*D202))</f>
        <v/>
      </c>
      <c r="E203" s="855" t="inlineStr">
        <is>
          <t>Should fall AT or BELOW the lowest tongue freq for warm bass coupling</t>
        </is>
      </c>
    </row>
    <row r="204">
      <c r="A204" s="861" t="inlineStr">
        <is>
          <t>Lowest Tongue Freq (Ding, Hz)</t>
        </is>
      </c>
      <c r="B204" s="862">
        <f>$B$191</f>
        <v/>
      </c>
      <c r="C204" s="862">
        <f>$C$191</f>
        <v/>
      </c>
      <c r="D204" s="862">
        <f>$D$191</f>
        <v/>
      </c>
      <c r="E204" s="855">
        <f> ding freq from preset row</f>
        <v/>
      </c>
    </row>
    <row r="205">
      <c r="A205" s="861" t="inlineStr">
        <is>
          <t>Helmholtz–Ding Coupling</t>
        </is>
      </c>
      <c r="B205" s="863">
        <f>IF(ABS(B203-B204)/B204&lt;=0.2,"Coupled (within 20%)",IF(B203&lt;B204,"Below ding (warm bass)","Above ding (mistuned)"))</f>
        <v/>
      </c>
      <c r="C205" s="863">
        <f>IF(ABS(C203-C204)/C204&lt;=0.2,"Coupled (within 20%)",IF(C203&lt;C204,"Below ding (warm bass)","Above ding (mistuned)"))</f>
        <v/>
      </c>
      <c r="D205" s="863">
        <f>IF(ABS(D203-D204)/D204&lt;=0.2,"Coupled (within 20%)",IF(D203&lt;D204,"Below ding (warm bass)","Above ding (mistuned)"))</f>
        <v/>
      </c>
      <c r="E205" s="855" t="inlineStr">
        <is>
          <t>±20 % of ding = coupled regime; below ding = bass extension; above = mistuned</t>
        </is>
      </c>
    </row>
    <row r="206">
      <c r="A206" s="861" t="inlineStr">
        <is>
          <t>Ding Tongue Length (in)</t>
        </is>
      </c>
      <c r="B206" s="858">
        <f>SQRT($B$184*$B$182/$B$191)</f>
        <v/>
      </c>
      <c r="C206" s="858">
        <f>SQRT($C$184*$C$182/$C$191)</f>
        <v/>
      </c>
      <c r="D206" s="858">
        <f>SQRT($D$184*$D$182/$D$191)</f>
        <v/>
      </c>
      <c r="E206" s="855" t="inlineStr">
        <is>
          <t>L = √(K·t/f), flat-cantilever Euler-Bernoulli</t>
        </is>
      </c>
    </row>
    <row r="207">
      <c r="A207" s="861" t="inlineStr">
        <is>
          <t>Fit Verdict</t>
        </is>
      </c>
      <c r="B207" s="863">
        <f>IF(B206&lt;=$B$195,"Fits OK",IF(B206&lt;=$B$195*1.1,"Tight (within 10%)","Wont fit"))</f>
        <v/>
      </c>
      <c r="C207" s="863">
        <f>IF(C206&lt;=$C$195,"Fits OK",IF(C206&lt;=$C$195*1.1,"Tight (within 10%)","Wont fit"))</f>
        <v/>
      </c>
      <c r="D207" s="863">
        <f>IF(D206&lt;=$D$195,"Fits OK",IF(D206&lt;=$D$195*1.1,"Tight (within 10%)","Wont fit"))</f>
        <v/>
      </c>
      <c r="E207" s="855" t="inlineStr">
        <is>
          <t>Fits OK ≤ radial cap • Tight within 10% • Wont fit if exceeds shell radius</t>
        </is>
      </c>
    </row>
    <row r="208">
      <c r="A208" s="861" t="inlineStr">
        <is>
          <t>Top Construction</t>
        </is>
      </c>
      <c r="B208" s="864" t="inlineStr">
        <is>
          <t>Flat tonewood disc (CNC-cut to OD, edge-rabbeted into shell rim). Slits routed before glue-up. Optional perimeter sound port for additional tuning. Disc dia = shell OD; thickness from preset.</t>
        </is>
      </c>
      <c r="C208" s="865" t="n"/>
      <c r="D208" s="865" t="n"/>
      <c r="E208" s="866" t="n"/>
    </row>
    <row r="209">
      <c r="A209" s="861" t="inlineStr">
        <is>
          <t>Tongue Physics</t>
        </is>
      </c>
      <c r="B209" s="864" t="inlineStr">
        <is>
          <t>Standard flat cantilever — formulas in row 38 onward apply directly. Empirical detuning &lt;= 1 % observed on rectangular drums; trust the model.</t>
        </is>
      </c>
      <c r="C209" s="865" t="n"/>
      <c r="D209" s="865" t="n"/>
      <c r="E209" s="866" t="n"/>
    </row>
    <row r="210">
      <c r="A210" s="861" t="inlineStr">
        <is>
          <t>Risk / Difficulty</t>
        </is>
      </c>
      <c r="B210" s="864" t="inlineStr">
        <is>
          <t>**  — Proven flat-cantilever physics + well-trodden stave/segmented bowl method. Lowest risk.</t>
        </is>
      </c>
      <c r="C210" s="865" t="n"/>
      <c r="D210" s="865" t="n"/>
      <c r="E210" s="866" t="n"/>
    </row>
    <row r="212">
      <c r="A212" s="850" t="inlineStr">
        <is>
          <t>§D. VARIANT 2 — Ottoman Cylinder, Domed Top</t>
        </is>
      </c>
    </row>
    <row r="213">
      <c r="A213" s="851" t="inlineStr">
        <is>
          <t>Same cylinder body as Variant 1 but with a shallow CNC-domed soundboard (steel-tongue-drum silhouette in wood). Dome is glue-laminated thick blank, 3D-surfaced top + bottom on CNC, then laser-aligned tongue slits cut into the curved face.</t>
        </is>
      </c>
    </row>
    <row r="214">
      <c r="A214" s="860" t="inlineStr">
        <is>
          <t>Metric</t>
        </is>
      </c>
      <c r="B214" s="860" t="inlineStr">
        <is>
          <t>Travel 12"</t>
        </is>
      </c>
      <c r="C214" s="860" t="inlineStr">
        <is>
          <t>Standard 16"</t>
        </is>
      </c>
      <c r="D214" s="860" t="inlineStr">
        <is>
          <t>Floor Pouf 20"</t>
        </is>
      </c>
      <c r="E214" s="860" t="inlineStr">
        <is>
          <t>Comment</t>
        </is>
      </c>
    </row>
    <row r="215">
      <c r="A215" s="861" t="inlineStr">
        <is>
          <t>Chamber Volume (in³)</t>
        </is>
      </c>
      <c r="B215" s="862">
        <f>PI()*($B$180/2)^2*$B$181+(PI()*$B$194*(3*($B$180/2)^2+$B$194^2))/6</f>
        <v/>
      </c>
      <c r="C215" s="862">
        <f>PI()*($C$180/2)^2*$C$181+(PI()*$C$194*(3*($C$180/2)^2+$C$194^2))/6</f>
        <v/>
      </c>
      <c r="D215" s="862">
        <f>PI()*($D$180/2)^2*$D$181+(PI()*$D$194*(3*($D$180/2)^2+$D$194^2))/6</f>
        <v/>
      </c>
      <c r="E215" s="855" t="inlineStr">
        <is>
          <t>Volume of enclosed air column (drives Helmholtz pitch)</t>
        </is>
      </c>
    </row>
    <row r="216">
      <c r="A216" s="861" t="inlineStr">
        <is>
          <t>Port Area (in²)</t>
        </is>
      </c>
      <c r="B216" s="858">
        <f>PI()*($B$193/2)^2</f>
        <v/>
      </c>
      <c r="C216" s="858">
        <f>PI()*($C$193/2)^2</f>
        <v/>
      </c>
      <c r="D216" s="858">
        <f>PI()*($D$193/2)^2</f>
        <v/>
      </c>
      <c r="E216" s="855" t="inlineStr">
        <is>
          <t>Bottom Gu port (=π·r²)</t>
        </is>
      </c>
    </row>
    <row r="217">
      <c r="A217" s="861" t="inlineStr">
        <is>
          <t>Effective Neck Length (in)</t>
        </is>
      </c>
      <c r="B217" s="859">
        <f>$B$182+0.5*$B$194</f>
        <v/>
      </c>
      <c r="C217" s="859">
        <f>$C$182+0.5*$C$194</f>
        <v/>
      </c>
      <c r="D217" s="859">
        <f>$D$182+0.5*$D$194</f>
        <v/>
      </c>
      <c r="E217" s="855" t="inlineStr">
        <is>
          <t>Soundboard thickness + ½ dome rise (longer neck → lower Helmholtz)</t>
        </is>
      </c>
    </row>
    <row r="218">
      <c r="A218" s="861" t="inlineStr">
        <is>
          <t>Helmholtz Freq (Hz)</t>
        </is>
      </c>
      <c r="B218" s="862">
        <f>(13552/(2*PI()))*SQRT(B216/(B215*B217))</f>
        <v/>
      </c>
      <c r="C218" s="862">
        <f>(13552/(2*PI()))*SQRT(C216/(C215*C217))</f>
        <v/>
      </c>
      <c r="D218" s="862">
        <f>(13552/(2*PI()))*SQRT(D216/(D215*D217))</f>
        <v/>
      </c>
      <c r="E218" s="855" t="inlineStr">
        <is>
          <t>Should fall AT or BELOW the lowest tongue freq for warm bass coupling</t>
        </is>
      </c>
    </row>
    <row r="219">
      <c r="A219" s="861" t="inlineStr">
        <is>
          <t>Lowest Tongue Freq (Ding, Hz)</t>
        </is>
      </c>
      <c r="B219" s="862">
        <f>$B$191</f>
        <v/>
      </c>
      <c r="C219" s="862">
        <f>$C$191</f>
        <v/>
      </c>
      <c r="D219" s="862">
        <f>$D$191</f>
        <v/>
      </c>
      <c r="E219" s="855">
        <f> ding freq from preset row</f>
        <v/>
      </c>
    </row>
    <row r="220">
      <c r="A220" s="861" t="inlineStr">
        <is>
          <t>Helmholtz–Ding Coupling</t>
        </is>
      </c>
      <c r="B220" s="863">
        <f>IF(ABS(B218-B219)/B219&lt;=0.2,"Coupled (within 20%)",IF(B218&lt;B219,"Below ding (warm bass)","Above ding (mistuned)"))</f>
        <v/>
      </c>
      <c r="C220" s="863">
        <f>IF(ABS(C218-C219)/C219&lt;=0.2,"Coupled (within 20%)",IF(C218&lt;C219,"Below ding (warm bass)","Above ding (mistuned)"))</f>
        <v/>
      </c>
      <c r="D220" s="863">
        <f>IF(ABS(D218-D219)/D219&lt;=0.2,"Coupled (within 20%)",IF(D218&lt;D219,"Below ding (warm bass)","Above ding (mistuned)"))</f>
        <v/>
      </c>
      <c r="E220" s="855" t="inlineStr">
        <is>
          <t>±20 % of ding = coupled regime; below ding = bass extension; above = mistuned</t>
        </is>
      </c>
    </row>
    <row r="221">
      <c r="A221" s="861" t="inlineStr">
        <is>
          <t>Ding Tongue Length (in)</t>
        </is>
      </c>
      <c r="B221" s="858">
        <f>SQRT($B$184*$B$182/$B$191)*1.025</f>
        <v/>
      </c>
      <c r="C221" s="858">
        <f>SQRT($C$184*$C$182/$C$191)*1.025</f>
        <v/>
      </c>
      <c r="D221" s="858">
        <f>SQRT($D$184*$D$182/$D$191)*1.025</f>
        <v/>
      </c>
      <c r="E221" s="855" t="inlineStr">
        <is>
          <t>L = √(K·t/f) × 1.025 (curvature adds ~2.5 % to length to match same pitch)</t>
        </is>
      </c>
    </row>
    <row r="222">
      <c r="A222" s="861" t="inlineStr">
        <is>
          <t>Fit Verdict</t>
        </is>
      </c>
      <c r="B222" s="863">
        <f>IF(B221&lt;=$B$195,"Fits OK",IF(B221&lt;=$B$195*1.1,"Tight (within 10%)","Wont fit"))</f>
        <v/>
      </c>
      <c r="C222" s="863">
        <f>IF(C221&lt;=$C$195,"Fits OK",IF(C221&lt;=$C$195*1.1,"Tight (within 10%)","Wont fit"))</f>
        <v/>
      </c>
      <c r="D222" s="863">
        <f>IF(D221&lt;=$D$195,"Fits OK",IF(D221&lt;=$D$195*1.1,"Tight (within 10%)","Wont fit"))</f>
        <v/>
      </c>
      <c r="E222" s="855" t="inlineStr">
        <is>
          <t>Fits OK ≤ radial cap • Tight within 10% • Wont fit if exceeds shell radius</t>
        </is>
      </c>
    </row>
    <row r="223">
      <c r="A223" s="861" t="inlineStr">
        <is>
          <t>Top Construction</t>
        </is>
      </c>
      <c r="B223" s="864" t="inlineStr">
        <is>
          <t>Glue-up blank (3 plies x ~0.5") flatten, then 3D surface a parabolic dome (rise = preset). Bottom contour matches OD rim. Tongue slits: 1/8" upcut on a B-axis sled OR flatten the dome face on a fixture before slit routing.</t>
        </is>
      </c>
      <c r="C223" s="865" t="n"/>
      <c r="D223" s="865" t="n"/>
      <c r="E223" s="866" t="n"/>
    </row>
    <row r="224">
      <c r="A224" s="861" t="inlineStr">
        <is>
          <t>Tongue Physics</t>
        </is>
      </c>
      <c r="B224" s="864" t="inlineStr">
        <is>
          <t>Curved cantilever stiffer than flat — apply +2.5 % length correction (built into the Ding Tongue Length formula above). Validate empirically: tap-tune one tongue and back-fit the multiplier before cutting all 11.</t>
        </is>
      </c>
      <c r="C224" s="865" t="n"/>
      <c r="D224" s="865" t="n"/>
      <c r="E224" s="866" t="n"/>
    </row>
    <row r="225">
      <c r="A225" s="861" t="inlineStr">
        <is>
          <t>Risk / Difficulty</t>
        </is>
      </c>
      <c r="B225" s="864" t="inlineStr">
        <is>
          <t>*** — Adds dome-surfacing risk. Prototype the dome in poplar before committing to Padauk.</t>
        </is>
      </c>
      <c r="C225" s="865" t="n"/>
      <c r="D225" s="865" t="n"/>
      <c r="E225" s="866" t="n"/>
    </row>
    <row r="227">
      <c r="A227" s="850" t="inlineStr">
        <is>
          <t>§E. VARIANT 3 — Hemisphere Bowl, Flat Top</t>
        </is>
      </c>
    </row>
    <row r="228">
      <c r="A228" s="851" t="inlineStr">
        <is>
          <t>True bowl-shaped shell — segmented (ring-stack) or thick-glue-up CNC-carved hemisphere — capped with a flat tonewood disc. Tagine / Moroccan-pouf silhouette. Bowl acts as a parabolic reflector, projecting tongue energy upward and outward.</t>
        </is>
      </c>
    </row>
    <row r="229">
      <c r="A229" s="860" t="inlineStr">
        <is>
          <t>Metric</t>
        </is>
      </c>
      <c r="B229" s="860" t="inlineStr">
        <is>
          <t>Travel 12"</t>
        </is>
      </c>
      <c r="C229" s="860" t="inlineStr">
        <is>
          <t>Standard 16"</t>
        </is>
      </c>
      <c r="D229" s="860" t="inlineStr">
        <is>
          <t>Floor Pouf 20"</t>
        </is>
      </c>
      <c r="E229" s="860" t="inlineStr">
        <is>
          <t>Comment</t>
        </is>
      </c>
    </row>
    <row r="230">
      <c r="A230" s="861" t="inlineStr">
        <is>
          <t>Chamber Volume (in³)</t>
        </is>
      </c>
      <c r="B230" s="862">
        <f>(PI()*$B$181^2*(3*(($B$181^2+($B$180/2)^2)/(2*$B$181))-$B$181))/3</f>
        <v/>
      </c>
      <c r="C230" s="862">
        <f>(PI()*$C$181^2*(3*(($C$181^2+($C$180/2)^2)/(2*$C$181))-$C$181))/3</f>
        <v/>
      </c>
      <c r="D230" s="862">
        <f>(PI()*$D$181^2*(3*(($D$181^2+($D$180/2)^2)/(2*$D$181))-$D$181))/3</f>
        <v/>
      </c>
      <c r="E230" s="855" t="inlineStr">
        <is>
          <t>Volume of enclosed air column (drives Helmholtz pitch)</t>
        </is>
      </c>
    </row>
    <row r="231">
      <c r="A231" s="861" t="inlineStr">
        <is>
          <t>Port Area (in²)</t>
        </is>
      </c>
      <c r="B231" s="858">
        <f>PI()*($B$193/2)^2</f>
        <v/>
      </c>
      <c r="C231" s="858">
        <f>PI()*($C$193/2)^2</f>
        <v/>
      </c>
      <c r="D231" s="858">
        <f>PI()*($D$193/2)^2</f>
        <v/>
      </c>
      <c r="E231" s="855" t="inlineStr">
        <is>
          <t>Bottom Gu port (=π·r²)</t>
        </is>
      </c>
    </row>
    <row r="232">
      <c r="A232" s="861" t="inlineStr">
        <is>
          <t>Effective Neck Length (in)</t>
        </is>
      </c>
      <c r="B232" s="859">
        <f>$B$182</f>
        <v/>
      </c>
      <c r="C232" s="859">
        <f>$C$182</f>
        <v/>
      </c>
      <c r="D232" s="859">
        <f>$D$182</f>
        <v/>
      </c>
      <c r="E232" s="855">
        <f> Soundboard thickness (port pierces only the bowl floor)</f>
        <v/>
      </c>
    </row>
    <row r="233">
      <c r="A233" s="861" t="inlineStr">
        <is>
          <t>Helmholtz Freq (Hz)</t>
        </is>
      </c>
      <c r="B233" s="862">
        <f>(13552/(2*PI()))*SQRT(B231/(B230*B232))</f>
        <v/>
      </c>
      <c r="C233" s="862">
        <f>(13552/(2*PI()))*SQRT(C231/(C230*C232))</f>
        <v/>
      </c>
      <c r="D233" s="862">
        <f>(13552/(2*PI()))*SQRT(D231/(D230*D232))</f>
        <v/>
      </c>
      <c r="E233" s="855" t="inlineStr">
        <is>
          <t>Should fall AT or BELOW the lowest tongue freq for warm bass coupling</t>
        </is>
      </c>
    </row>
    <row r="234">
      <c r="A234" s="861" t="inlineStr">
        <is>
          <t>Lowest Tongue Freq (Ding, Hz)</t>
        </is>
      </c>
      <c r="B234" s="862">
        <f>$B$191</f>
        <v/>
      </c>
      <c r="C234" s="862">
        <f>$C$191</f>
        <v/>
      </c>
      <c r="D234" s="862">
        <f>$D$191</f>
        <v/>
      </c>
      <c r="E234" s="855">
        <f> ding freq from preset row</f>
        <v/>
      </c>
    </row>
    <row r="235">
      <c r="A235" s="861" t="inlineStr">
        <is>
          <t>Helmholtz–Ding Coupling</t>
        </is>
      </c>
      <c r="B235" s="863">
        <f>IF(ABS(B233-B234)/B234&lt;=0.2,"Coupled (within 20%)",IF(B233&lt;B234,"Below ding (warm bass)","Above ding (mistuned)"))</f>
        <v/>
      </c>
      <c r="C235" s="863">
        <f>IF(ABS(C233-C234)/C234&lt;=0.2,"Coupled (within 20%)",IF(C233&lt;C234,"Below ding (warm bass)","Above ding (mistuned)"))</f>
        <v/>
      </c>
      <c r="D235" s="863">
        <f>IF(ABS(D233-D234)/D234&lt;=0.2,"Coupled (within 20%)",IF(D233&lt;D234,"Below ding (warm bass)","Above ding (mistuned)"))</f>
        <v/>
      </c>
      <c r="E235" s="855" t="inlineStr">
        <is>
          <t>±20 % of ding = coupled regime; below ding = bass extension; above = mistuned</t>
        </is>
      </c>
    </row>
    <row r="236">
      <c r="A236" s="861" t="inlineStr">
        <is>
          <t>Ding Tongue Length (in)</t>
        </is>
      </c>
      <c r="B236" s="858">
        <f>SQRT($B$184*$B$182/$B$191)</f>
        <v/>
      </c>
      <c r="C236" s="858">
        <f>SQRT($C$184*$C$182/$C$191)</f>
        <v/>
      </c>
      <c r="D236" s="858">
        <f>SQRT($D$184*$D$182/$D$191)</f>
        <v/>
      </c>
      <c r="E236" s="855" t="inlineStr">
        <is>
          <t>L = √(K·t/f), flat-cantilever Euler-Bernoulli</t>
        </is>
      </c>
    </row>
    <row r="237">
      <c r="A237" s="861" t="inlineStr">
        <is>
          <t>Fit Verdict</t>
        </is>
      </c>
      <c r="B237" s="863">
        <f>IF(B236&lt;=$B$195,"Fits OK",IF(B236&lt;=$B$195*1.1,"Tight (within 10%)","Wont fit"))</f>
        <v/>
      </c>
      <c r="C237" s="863">
        <f>IF(C236&lt;=$C$195,"Fits OK",IF(C236&lt;=$C$195*1.1,"Tight (within 10%)","Wont fit"))</f>
        <v/>
      </c>
      <c r="D237" s="863">
        <f>IF(D236&lt;=$D$195,"Fits OK",IF(D236&lt;=$D$195*1.1,"Tight (within 10%)","Wont fit"))</f>
        <v/>
      </c>
      <c r="E237" s="855" t="inlineStr">
        <is>
          <t>Fits OK ≤ radial cap • Tight within 10% • Wont fit if exceeds shell radius</t>
        </is>
      </c>
    </row>
    <row r="238">
      <c r="A238" s="861" t="inlineStr">
        <is>
          <t>Top Construction</t>
        </is>
      </c>
      <c r="B238" s="864" t="inlineStr">
        <is>
          <t>Flat soundboard disc (same as Variant 1). Critical: shell rim must be precisely circular and planar — turn rim true on lathe AFTER segment glue-up. Rabbet for board is 0.25" deep.</t>
        </is>
      </c>
      <c r="C238" s="865" t="n"/>
      <c r="D238" s="865" t="n"/>
      <c r="E238" s="866" t="n"/>
    </row>
    <row r="239">
      <c r="A239" s="861" t="inlineStr">
        <is>
          <t>Tongue Physics</t>
        </is>
      </c>
      <c r="B239" s="864" t="inlineStr">
        <is>
          <t>Same flat cantilever as Variant 1. The bowl doesn't affect tongue physics, only the Helmholtz coupling and projection pattern.</t>
        </is>
      </c>
      <c r="C239" s="865" t="n"/>
      <c r="D239" s="865" t="n"/>
      <c r="E239" s="866" t="n"/>
    </row>
    <row r="240">
      <c r="A240" s="861" t="inlineStr">
        <is>
          <t>Risk / Difficulty</t>
        </is>
      </c>
      <c r="B240" s="864" t="inlineStr">
        <is>
          <t>**  — Bowl turning is straightforward at 12-16"; &gt;18" needs a lathe with &gt;=10" swing over bed.</t>
        </is>
      </c>
      <c r="C240" s="865" t="n"/>
      <c r="D240" s="865" t="n"/>
      <c r="E240" s="866" t="n"/>
    </row>
    <row r="242">
      <c r="A242" s="850" t="inlineStr">
        <is>
          <t>§F. VARIANT 4 — Hemisphere Bowl, Domed Top</t>
        </is>
      </c>
    </row>
    <row r="243">
      <c r="A243" s="851" t="inlineStr">
        <is>
          <t>Most steel-tongue-drum-adjacent silhouette in wood: round bowl below + shallow dome above. Total profile reads as a near-sphere. Construction is the union of Variants 2 + 3.</t>
        </is>
      </c>
    </row>
    <row r="244">
      <c r="A244" s="860" t="inlineStr">
        <is>
          <t>Metric</t>
        </is>
      </c>
      <c r="B244" s="860" t="inlineStr">
        <is>
          <t>Travel 12"</t>
        </is>
      </c>
      <c r="C244" s="860" t="inlineStr">
        <is>
          <t>Standard 16"</t>
        </is>
      </c>
      <c r="D244" s="860" t="inlineStr">
        <is>
          <t>Floor Pouf 20"</t>
        </is>
      </c>
      <c r="E244" s="860" t="inlineStr">
        <is>
          <t>Comment</t>
        </is>
      </c>
    </row>
    <row r="245">
      <c r="A245" s="861" t="inlineStr">
        <is>
          <t>Chamber Volume (in³)</t>
        </is>
      </c>
      <c r="B245" s="862">
        <f>(PI()*$B$181^2*(3*(($B$181^2+($B$180/2)^2)/(2*$B$181))-$B$181))/3+(PI()*$B$194*(3*($B$180/2)^2+$B$194^2))/6</f>
        <v/>
      </c>
      <c r="C245" s="862">
        <f>(PI()*$C$181^2*(3*(($C$181^2+($C$180/2)^2)/(2*$C$181))-$C$181))/3+(PI()*$C$194*(3*($C$180/2)^2+$C$194^2))/6</f>
        <v/>
      </c>
      <c r="D245" s="862">
        <f>(PI()*$D$181^2*(3*(($D$181^2+($D$180/2)^2)/(2*$D$181))-$D$181))/3+(PI()*$D$194*(3*($D$180/2)^2+$D$194^2))/6</f>
        <v/>
      </c>
      <c r="E245" s="855" t="inlineStr">
        <is>
          <t>Volume of enclosed air column (drives Helmholtz pitch)</t>
        </is>
      </c>
    </row>
    <row r="246">
      <c r="A246" s="861" t="inlineStr">
        <is>
          <t>Port Area (in²)</t>
        </is>
      </c>
      <c r="B246" s="858">
        <f>PI()*($B$193/2)^2</f>
        <v/>
      </c>
      <c r="C246" s="858">
        <f>PI()*($C$193/2)^2</f>
        <v/>
      </c>
      <c r="D246" s="858">
        <f>PI()*($D$193/2)^2</f>
        <v/>
      </c>
      <c r="E246" s="855" t="inlineStr">
        <is>
          <t>Bottom Gu port (=π·r²)</t>
        </is>
      </c>
    </row>
    <row r="247">
      <c r="A247" s="861" t="inlineStr">
        <is>
          <t>Effective Neck Length (in)</t>
        </is>
      </c>
      <c r="B247" s="859">
        <f>$B$182+0.5*$B$194</f>
        <v/>
      </c>
      <c r="C247" s="859">
        <f>$C$182+0.5*$C$194</f>
        <v/>
      </c>
      <c r="D247" s="859">
        <f>$D$182+0.5*$D$194</f>
        <v/>
      </c>
      <c r="E247" s="855" t="inlineStr">
        <is>
          <t>Soundboard thickness + ½ dome rise (longer neck → lower Helmholtz)</t>
        </is>
      </c>
    </row>
    <row r="248">
      <c r="A248" s="861" t="inlineStr">
        <is>
          <t>Helmholtz Freq (Hz)</t>
        </is>
      </c>
      <c r="B248" s="862">
        <f>(13552/(2*PI()))*SQRT(B246/(B245*B247))</f>
        <v/>
      </c>
      <c r="C248" s="862">
        <f>(13552/(2*PI()))*SQRT(C246/(C245*C247))</f>
        <v/>
      </c>
      <c r="D248" s="862">
        <f>(13552/(2*PI()))*SQRT(D246/(D245*D247))</f>
        <v/>
      </c>
      <c r="E248" s="855" t="inlineStr">
        <is>
          <t>Should fall AT or BELOW the lowest tongue freq for warm bass coupling</t>
        </is>
      </c>
    </row>
    <row r="249">
      <c r="A249" s="861" t="inlineStr">
        <is>
          <t>Lowest Tongue Freq (Ding, Hz)</t>
        </is>
      </c>
      <c r="B249" s="862">
        <f>$B$191</f>
        <v/>
      </c>
      <c r="C249" s="862">
        <f>$C$191</f>
        <v/>
      </c>
      <c r="D249" s="862">
        <f>$D$191</f>
        <v/>
      </c>
      <c r="E249" s="855">
        <f> ding freq from preset row</f>
        <v/>
      </c>
    </row>
    <row r="250">
      <c r="A250" s="861" t="inlineStr">
        <is>
          <t>Helmholtz–Ding Coupling</t>
        </is>
      </c>
      <c r="B250" s="863">
        <f>IF(ABS(B248-B249)/B249&lt;=0.2,"Coupled (within 20%)",IF(B248&lt;B249,"Below ding (warm bass)","Above ding (mistuned)"))</f>
        <v/>
      </c>
      <c r="C250" s="863">
        <f>IF(ABS(C248-C249)/C249&lt;=0.2,"Coupled (within 20%)",IF(C248&lt;C249,"Below ding (warm bass)","Above ding (mistuned)"))</f>
        <v/>
      </c>
      <c r="D250" s="863">
        <f>IF(ABS(D248-D249)/D249&lt;=0.2,"Coupled (within 20%)",IF(D248&lt;D249,"Below ding (warm bass)","Above ding (mistuned)"))</f>
        <v/>
      </c>
      <c r="E250" s="855" t="inlineStr">
        <is>
          <t>±20 % of ding = coupled regime; below ding = bass extension; above = mistuned</t>
        </is>
      </c>
    </row>
    <row r="251">
      <c r="A251" s="861" t="inlineStr">
        <is>
          <t>Ding Tongue Length (in)</t>
        </is>
      </c>
      <c r="B251" s="858">
        <f>SQRT($B$184*$B$182/$B$191)*1.025</f>
        <v/>
      </c>
      <c r="C251" s="858">
        <f>SQRT($C$184*$C$182/$C$191)*1.025</f>
        <v/>
      </c>
      <c r="D251" s="858">
        <f>SQRT($D$184*$D$182/$D$191)*1.025</f>
        <v/>
      </c>
      <c r="E251" s="855" t="inlineStr">
        <is>
          <t>L = √(K·t/f) × 1.025 (curvature adds ~2.5 % to length to match same pitch)</t>
        </is>
      </c>
    </row>
    <row r="252">
      <c r="A252" s="861" t="inlineStr">
        <is>
          <t>Fit Verdict</t>
        </is>
      </c>
      <c r="B252" s="863">
        <f>IF(B251&lt;=$B$195,"Fits OK",IF(B251&lt;=$B$195*1.1,"Tight (within 10%)","Wont fit"))</f>
        <v/>
      </c>
      <c r="C252" s="863">
        <f>IF(C251&lt;=$C$195,"Fits OK",IF(C251&lt;=$C$195*1.1,"Tight (within 10%)","Wont fit"))</f>
        <v/>
      </c>
      <c r="D252" s="863">
        <f>IF(D251&lt;=$D$195,"Fits OK",IF(D251&lt;=$D$195*1.1,"Tight (within 10%)","Wont fit"))</f>
        <v/>
      </c>
      <c r="E252" s="855" t="inlineStr">
        <is>
          <t>Fits OK ≤ radial cap • Tight within 10% • Wont fit if exceeds shell radius</t>
        </is>
      </c>
    </row>
    <row r="253">
      <c r="A253" s="861" t="inlineStr">
        <is>
          <t>Top Construction</t>
        </is>
      </c>
      <c r="B253" s="864" t="inlineStr">
        <is>
          <t>Glued bowl (segmented or stave) + glue-up dome blank, both 3D-surfaced on CNC. Half-lap or rabbet joinery at rim. Final assembly clamps with a custom radius caul.</t>
        </is>
      </c>
      <c r="C253" s="865" t="n"/>
      <c r="D253" s="865" t="n"/>
      <c r="E253" s="866" t="n"/>
    </row>
    <row r="254">
      <c r="A254" s="861" t="inlineStr">
        <is>
          <t>Tongue Physics</t>
        </is>
      </c>
      <c r="B254" s="864" t="inlineStr">
        <is>
          <t>Curved cantilever +2.5 % correction (same as Variant 2). The flat-&gt;curved physics shift is the dominant uncertainty; budget extra prototype tongues.</t>
        </is>
      </c>
      <c r="C254" s="865" t="n"/>
      <c r="D254" s="865" t="n"/>
      <c r="E254" s="866" t="n"/>
    </row>
    <row r="255">
      <c r="A255" s="861" t="inlineStr">
        <is>
          <t>Risk / Difficulty</t>
        </is>
      </c>
      <c r="B255" s="864" t="inlineStr">
        <is>
          <t>****  — Highest piece-count + highest empirical tuning risk. Most beautiful result; build last.</t>
        </is>
      </c>
      <c r="C255" s="865" t="n"/>
      <c r="D255" s="865" t="n"/>
      <c r="E255" s="866" t="n"/>
    </row>
    <row r="257">
      <c r="A257" s="850" t="inlineStr">
        <is>
          <t>§G. COMPATIBILITY MATRIX — Variant x Size at-a-glance</t>
        </is>
      </c>
    </row>
    <row r="258">
      <c r="A258" s="851" t="inlineStr">
        <is>
          <t>Quick-look summary. Cells reference the Fit Verdict and Helmholtz-Ding Coupling computed in C-F above. Stale? Press F9 to recalc.</t>
        </is>
      </c>
    </row>
    <row r="259">
      <c r="A259" s="852" t="inlineStr">
        <is>
          <t>Variant</t>
        </is>
      </c>
      <c r="B259" s="852" t="inlineStr">
        <is>
          <t>Travel 12"</t>
        </is>
      </c>
      <c r="C259" s="852" t="inlineStr">
        <is>
          <t>Standard 16"</t>
        </is>
      </c>
      <c r="D259" s="852" t="inlineStr">
        <is>
          <t>Floor Pouf 20"</t>
        </is>
      </c>
      <c r="E259" s="852" t="inlineStr">
        <is>
          <t>Recommendation</t>
        </is>
      </c>
    </row>
    <row r="260">
      <c r="A260" s="853" t="inlineStr">
        <is>
          <t>1 - Cylinder . Flat Top</t>
        </is>
      </c>
      <c r="B260" s="863">
        <f>B207&amp;" / "&amp;B205</f>
        <v/>
      </c>
      <c r="C260" s="863">
        <f>C207&amp;" / "&amp;C205</f>
        <v/>
      </c>
      <c r="D260" s="863">
        <f>D207&amp;" / "&amp;D205</f>
        <v/>
      </c>
      <c r="E260" s="855" t="inlineStr">
        <is>
          <t>Start here. 16" is the sweet spot.</t>
        </is>
      </c>
    </row>
    <row r="261">
      <c r="A261" s="853" t="inlineStr">
        <is>
          <t>2 - Cylinder . Domed Top</t>
        </is>
      </c>
      <c r="B261" s="863">
        <f>B222&amp;" / "&amp;B220</f>
        <v/>
      </c>
      <c r="C261" s="863">
        <f>C222&amp;" / "&amp;C220</f>
        <v/>
      </c>
      <c r="D261" s="863">
        <f>D222&amp;" / "&amp;D220</f>
        <v/>
      </c>
      <c r="E261" s="855" t="inlineStr">
        <is>
          <t>Do this 2nd - proves dome workflow on simple body.</t>
        </is>
      </c>
    </row>
    <row r="262">
      <c r="A262" s="853" t="inlineStr">
        <is>
          <t>3 - Hemisphere . Flat Top</t>
        </is>
      </c>
      <c r="B262" s="863">
        <f>B237&amp;" / "&amp;B235</f>
        <v/>
      </c>
      <c r="C262" s="863">
        <f>C237&amp;" / "&amp;C235</f>
        <v/>
      </c>
      <c r="D262" s="863">
        <f>D237&amp;" / "&amp;D235</f>
        <v/>
      </c>
      <c r="E262" s="855" t="inlineStr">
        <is>
          <t>Do this 3rd - proves bowl workflow with safe top.</t>
        </is>
      </c>
    </row>
    <row r="263">
      <c r="A263" s="853" t="inlineStr">
        <is>
          <t>4 - Hemisphere . Domed Top</t>
        </is>
      </c>
      <c r="B263" s="863">
        <f>B252&amp;" / "&amp;B250</f>
        <v/>
      </c>
      <c r="C263" s="863">
        <f>C252&amp;" / "&amp;C250</f>
        <v/>
      </c>
      <c r="D263" s="863">
        <f>D252&amp;" / "&amp;D250</f>
        <v/>
      </c>
      <c r="E263" s="855" t="inlineStr">
        <is>
          <t>Final form. Build only after Variants 2 and 3 succeed.</t>
        </is>
      </c>
    </row>
    <row r="265">
      <c r="A265" s="850" t="inlineStr">
        <is>
          <t>§H. CONSTRUCTION NOTES — Round-Body Specifics</t>
        </is>
      </c>
    </row>
    <row r="266" ht="38" customHeight="1" s="817">
      <c r="A266" s="867" t="inlineStr">
        <is>
          <t>1. Cylinder shell - staves</t>
        </is>
      </c>
      <c r="B266" s="864" t="inlineStr">
        <is>
          <t>16 staves at 11.25 deg miter (180/16). Rip from 4/4 stock; jointed edges; band-clamp glue-up around an MDF cylinder mold. Lathe-true the OD and ID after cure (&gt;=24 h). Wall thickness after turning: 5/8-3/4 in.</t>
        </is>
      </c>
      <c r="C266" s="865" t="n"/>
      <c r="D266" s="865" t="n"/>
      <c r="E266" s="866" t="n"/>
    </row>
    <row r="267" ht="38" customHeight="1" s="817">
      <c r="A267" s="867" t="inlineStr">
        <is>
          <t>2. Cylinder shell - segmented</t>
        </is>
      </c>
      <c r="B267" s="864" t="inlineStr">
        <is>
          <t>8 rings x 12 segments (15 deg miter). Same approach as your Ashiko (29 rings x 16) but lower ring count for shallower bodies. Stack rings on lazy-susan jig for glue-up. Diamond pattern with Walnut + Maple + Cherry accents reads beautifully on Ottoman size.</t>
        </is>
      </c>
      <c r="C267" s="865" t="n"/>
      <c r="D267" s="865" t="n"/>
      <c r="E267" s="866" t="n"/>
    </row>
    <row r="268" ht="38" customHeight="1" s="817">
      <c r="A268" s="867" t="inlineStr">
        <is>
          <t>3. Hemisphere bowl - segmented</t>
        </is>
      </c>
      <c r="B268" s="864" t="inlineStr">
        <is>
          <t>Stack rings of decreasing diameter to approximate the spherical curve, then turn true on the lathe. Ring count 6-10 depending on size. Outer profile: parabolic to within 1/16 in of true sphere - OK because lathe finishes it.</t>
        </is>
      </c>
      <c r="C268" s="865" t="n"/>
      <c r="D268" s="865" t="n"/>
      <c r="E268" s="866" t="n"/>
    </row>
    <row r="269" ht="38" customHeight="1" s="817">
      <c r="A269" s="867" t="inlineStr">
        <is>
          <t>4. Hemisphere bowl - CNC carved</t>
        </is>
      </c>
      <c r="B269" s="864" t="inlineStr">
        <is>
          <t>Glue-up thick blank (e.g., 4x 1 in plies of Walnut), then 3D-surface inside and outside on CNC with 3/4 in ball-end bit. Faster than segmenting for one-offs but heavy material waste.</t>
        </is>
      </c>
      <c r="C269" s="865" t="n"/>
      <c r="D269" s="865" t="n"/>
      <c r="E269" s="866" t="n"/>
    </row>
    <row r="270" ht="38" customHeight="1" s="817">
      <c r="A270" s="867" t="inlineStr">
        <is>
          <t>5. Domed top - 3D surfacing</t>
        </is>
      </c>
      <c r="B270" s="864" t="inlineStr">
        <is>
          <t>Glue-up disc blank to OD + 1 in. 3D-surface convex top (parabolic, rise per preset) and concave underside in a flip-jig. Stepover 0.05 in for &lt;=32 microinch surface finish. Tongue slits routed AFTER shaping, on a sacrificial fixture that supports the dome.</t>
        </is>
      </c>
      <c r="C270" s="865" t="n"/>
      <c r="D270" s="865" t="n"/>
      <c r="E270" s="866" t="n"/>
    </row>
    <row r="271" ht="38" customHeight="1" s="817">
      <c r="A271" s="867" t="inlineStr">
        <is>
          <t>6. Domed top - alternate (steam-bent)</t>
        </is>
      </c>
      <c r="B271" s="864" t="inlineStr">
        <is>
          <t>For thinner Ø &lt;= 16 in domes, bend a 1/4 in board over a CNC-routed positive form. Less waste than glue-up, but harder to keep flat-grained Padauk from springing back. Validate with poplar first.</t>
        </is>
      </c>
      <c r="C271" s="865" t="n"/>
      <c r="D271" s="865" t="n"/>
      <c r="E271" s="866" t="n"/>
    </row>
    <row r="272" ht="38" customHeight="1" s="817">
      <c r="A272" s="867" t="inlineStr">
        <is>
          <t>7. Tongue layout - radial</t>
        </is>
      </c>
      <c r="B272" s="864" t="inlineStr">
        <is>
          <t>Same zigzag-ascending pattern as a steel tongue drum: ding centered, then alternating sides radially outward in scale order. Slit tongue width 1 in (Travel) -&gt; 1.5 in (Floor Pouf). Do not exceed 50 % of soundboard area in slit kerfs (structural).</t>
        </is>
      </c>
      <c r="C272" s="865" t="n"/>
      <c r="D272" s="865" t="n"/>
      <c r="E272" s="866" t="n"/>
    </row>
    <row r="273" ht="38" customHeight="1" s="817">
      <c r="A273" s="867" t="inlineStr">
        <is>
          <t>8. Bowl-top joint</t>
        </is>
      </c>
      <c r="B273" s="864" t="inlineStr">
        <is>
          <t>Critical airtight joint. Options: (a) rabbet 1/4 in deep x board-thickness wide on the rim, drop soundboard in flush with PVA + cauls; (b) lap joint with stepped board; (c) gasket of 1/16 in cork. (a) is the best balance of acoustics and reversibility.</t>
        </is>
      </c>
      <c r="C273" s="865" t="n"/>
      <c r="D273" s="865" t="n"/>
      <c r="E273" s="866" t="n"/>
    </row>
    <row r="274" ht="38" customHeight="1" s="817">
      <c r="A274" s="867" t="inlineStr">
        <is>
          <t>9. Gu port - sizing</t>
        </is>
      </c>
      <c r="B274" s="864" t="inlineStr">
        <is>
          <t>Drill through thickest part of bowl floor. Fit with rubber O-ring liner like a Hapi drum. Port Ø is the primary Helmholtz tuning knob: enlarge for higher bass, shrink for lower.</t>
        </is>
      </c>
      <c r="C274" s="865" t="n"/>
      <c r="D274" s="865" t="n"/>
      <c r="E274" s="866" t="n"/>
    </row>
    <row r="275" ht="38" customHeight="1" s="817">
      <c r="A275" s="867" t="inlineStr">
        <is>
          <t>10. Domed-tongue empirical correction</t>
        </is>
      </c>
      <c r="B275" s="864" t="inlineStr">
        <is>
          <t>Curved cantilever stiffness scales with arc curvature. The +2.5 % length factor in §D and §F is a starting estimate from cylinder-shell theory at small radii. Tap-test ONE tongue at design length, measure pitch (e.g. with Tone Generator app), back-solve actual factor, then apply to remaining 10 tongues.</t>
        </is>
      </c>
      <c r="C275" s="865" t="n"/>
      <c r="D275" s="865" t="n"/>
      <c r="E275" s="866" t="n"/>
    </row>
    <row r="276" ht="38" customHeight="1" s="817">
      <c r="A276" s="867" t="inlineStr">
        <is>
          <t>11. Weight budget</t>
        </is>
      </c>
      <c r="B276" s="864" t="inlineStr">
        <is>
          <t>Travel 12 in: shell ~3 lb + soundboard ~1 lb = 4 lb. Standard 16 in: 6-7 lb. Floor Pouf 20 in: 10-12 lb. Add carry handle (rope through bowl) for Standard and above.</t>
        </is>
      </c>
      <c r="C276" s="865" t="n"/>
      <c r="D276" s="865" t="n"/>
      <c r="E276" s="866" t="n"/>
    </row>
    <row r="277" ht="38" customHeight="1" s="817">
      <c r="A277" s="867" t="inlineStr">
        <is>
          <t>12. Original-design caveat</t>
        </is>
      </c>
      <c r="B277" s="864" t="inlineStr">
        <is>
          <t>No commercial wood tongue drums exist in this round-body x dome-top format at this design depth. Treat all four variants as prototype-then-validate before committing premium tonewood.</t>
        </is>
      </c>
      <c r="C277" s="865" t="n"/>
      <c r="D277" s="865" t="n"/>
      <c r="E277" s="866" t="n"/>
    </row>
    <row r="279">
      <c r="A279" s="850" t="inlineStr">
        <is>
          <t>§I. RECOMMENDED BUILD SEQUENCE</t>
        </is>
      </c>
    </row>
    <row r="280" ht="36" customHeight="1" s="817">
      <c r="A280" s="867" t="inlineStr">
        <is>
          <t>Phase 1</t>
        </is>
      </c>
      <c r="B280" s="861" t="inlineStr">
        <is>
          <t>Phase 1 - Prove cylinder + flat top</t>
        </is>
      </c>
      <c r="C280" s="864" t="inlineStr">
        <is>
          <t>Build Variant 1 at Standard 16 in first. Padauk 3/8 in soundboard, A Kurd, 11 tongues. Confirms shell construction, gu-port tuning, bowl-top joint, and Helmholtz coupling all in one go.</t>
        </is>
      </c>
      <c r="D280" s="865" t="n"/>
      <c r="E280" s="866" t="n"/>
    </row>
    <row r="281" ht="36" customHeight="1" s="817">
      <c r="A281" s="867" t="inlineStr">
        <is>
          <t>Phase 2</t>
        </is>
      </c>
      <c r="B281" s="861" t="inlineStr">
        <is>
          <t>Phase 2 - Prove dome surfacing</t>
        </is>
      </c>
      <c r="C281" s="864" t="inlineStr">
        <is>
          <t>Build Variant 2 at the same Standard 16 in with same scale. Reuse the Phase-1 cylinder shell - only the soundboard changes. Quantifies the curved-cantilever correction factor.</t>
        </is>
      </c>
      <c r="D281" s="865" t="n"/>
      <c r="E281" s="866" t="n"/>
    </row>
    <row r="282" ht="36" customHeight="1" s="817">
      <c r="A282" s="867" t="inlineStr">
        <is>
          <t>Phase 3</t>
        </is>
      </c>
      <c r="B282" s="861" t="inlineStr">
        <is>
          <t>Phase 3 - Prove bowl construction</t>
        </is>
      </c>
      <c r="C282" s="864" t="inlineStr">
        <is>
          <t>Build Variant 3 at Standard 16 in with a flat top. Now you know flat-top + bowl independently.</t>
        </is>
      </c>
      <c r="D282" s="865" t="n"/>
      <c r="E282" s="866" t="n"/>
    </row>
    <row r="283" ht="36" customHeight="1" s="817">
      <c r="A283" s="867" t="inlineStr">
        <is>
          <t>Phase 4</t>
        </is>
      </c>
      <c r="B283" s="861" t="inlineStr">
        <is>
          <t>Phase 4 - Combine learnings</t>
        </is>
      </c>
      <c r="C283" s="864" t="inlineStr">
        <is>
          <t>Build Variant 4 at the size you most want as a finished piece (Standard 16 in or Floor Pouf 20 in). Premium tonewoods, signature Heifer Zephyr finish.</t>
        </is>
      </c>
      <c r="D283" s="865" t="n"/>
      <c r="E283" s="866" t="n"/>
    </row>
    <row r="284" ht="36" customHeight="1" s="817">
      <c r="A284" s="867" t="inlineStr">
        <is>
          <t>Phase 5</t>
        </is>
      </c>
      <c r="B284" s="861" t="inlineStr">
        <is>
          <t>Phase 5 - Travel size</t>
        </is>
      </c>
      <c r="C284" s="864" t="inlineStr">
        <is>
          <t>Once Phase 4 is dialled, scale Variant 1 (or your favourite) DOWN to 12 in Travel. Smallest size has tightest tongue-fit margins; build last when you know the formulas hold.</t>
        </is>
      </c>
      <c r="D284" s="865" t="n"/>
      <c r="E284" s="866" t="n"/>
    </row>
  </sheetData>
  <mergeCells count="44">
    <mergeCell ref="A227:I227"/>
    <mergeCell ref="B255:E255"/>
    <mergeCell ref="A212:I212"/>
    <mergeCell ref="B269:E269"/>
    <mergeCell ref="A243:I243"/>
    <mergeCell ref="B239:E239"/>
    <mergeCell ref="B254:E254"/>
    <mergeCell ref="B266:E266"/>
    <mergeCell ref="C282:E282"/>
    <mergeCell ref="B275:E275"/>
    <mergeCell ref="A198:I198"/>
    <mergeCell ref="A175:I175"/>
    <mergeCell ref="A213:I213"/>
    <mergeCell ref="B268:E268"/>
    <mergeCell ref="A242:I242"/>
    <mergeCell ref="B277:E277"/>
    <mergeCell ref="B224:E224"/>
    <mergeCell ref="B271:E271"/>
    <mergeCell ref="B209:E209"/>
    <mergeCell ref="B208:E208"/>
    <mergeCell ref="B273:E273"/>
    <mergeCell ref="C283:E283"/>
    <mergeCell ref="A265:I265"/>
    <mergeCell ref="B223:E223"/>
    <mergeCell ref="B238:E238"/>
    <mergeCell ref="B276:E276"/>
    <mergeCell ref="B272:E272"/>
    <mergeCell ref="B210:E210"/>
    <mergeCell ref="A258:I258"/>
    <mergeCell ref="A176:I176"/>
    <mergeCell ref="B253:E253"/>
    <mergeCell ref="B240:E240"/>
    <mergeCell ref="B225:E225"/>
    <mergeCell ref="A257:I257"/>
    <mergeCell ref="B274:E274"/>
    <mergeCell ref="A279:I279"/>
    <mergeCell ref="C284:E284"/>
    <mergeCell ref="A178:I178"/>
    <mergeCell ref="C281:E281"/>
    <mergeCell ref="A197:I197"/>
    <mergeCell ref="B267:E267"/>
    <mergeCell ref="A228:I228"/>
    <mergeCell ref="B270:E270"/>
    <mergeCell ref="C280:E280"/>
  </mergeCell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2026-05-01T02:02:13Z</dcterms:created>
  <dcterms:modified xmlns:dcterms="http://purl.org/dc/terms/" xmlns:xsi="http://www.w3.org/2001/XMLSchema-instance" xsi:type="dcterms:W3CDTF">2026-05-04T05:11:19Z</dcterms:modified>
  <cp:lastModifiedBy>Tony Koop</cp:lastModifiedBy>
</cp:coreProperties>
</file>